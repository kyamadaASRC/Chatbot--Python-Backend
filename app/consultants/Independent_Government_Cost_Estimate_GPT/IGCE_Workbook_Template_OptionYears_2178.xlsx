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scalation" sheetId="2" state="visible" r:id="rId2"/>
    <sheet xmlns:r="http://schemas.openxmlformats.org/officeDocument/2006/relationships" name="Labor_ByYear" sheetId="3" state="visible" r:id="rId3"/>
    <sheet xmlns:r="http://schemas.openxmlformats.org/officeDocument/2006/relationships" name="ODCs_ByYear" sheetId="4" state="visible" r:id="rId4"/>
    <sheet xmlns:r="http://schemas.openxmlformats.org/officeDocument/2006/relationships" name="Travel_ByYear" sheetId="5" state="visible" r:id="rId5"/>
    <sheet xmlns:r="http://schemas.openxmlformats.org/officeDocument/2006/relationships" name="History_Comparables" sheetId="6" state="visible" r:id="rId6"/>
    <sheet xmlns:r="http://schemas.openxmlformats.org/officeDocument/2006/relationships" name="Sources" sheetId="7" state="visible" r:id="rId7"/>
    <sheet xmlns:r="http://schemas.openxmlformats.org/officeDocument/2006/relationships" name="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F0F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Category</t>
        </is>
      </c>
      <c r="B1" s="1" t="inlineStr">
        <is>
          <t>Base</t>
        </is>
      </c>
      <c r="C1" s="1" t="inlineStr">
        <is>
          <t>OY1</t>
        </is>
      </c>
      <c r="D1" s="1" t="inlineStr">
        <is>
          <t>OY2</t>
        </is>
      </c>
      <c r="E1" s="1" t="inlineStr">
        <is>
          <t>OY3</t>
        </is>
      </c>
      <c r="F1" s="1" t="inlineStr">
        <is>
          <t>OY4</t>
        </is>
      </c>
      <c r="G1" s="1" t="inlineStr">
        <is>
          <t>OY5</t>
        </is>
      </c>
      <c r="H1" s="1" t="inlineStr">
        <is>
          <t>Grand Total</t>
        </is>
      </c>
    </row>
    <row r="2">
      <c r="A2" t="inlineStr">
        <is>
          <t>Labor</t>
        </is>
      </c>
      <c r="B2">
        <f>SUM(Labor_ByYear!R:R)</f>
        <v/>
      </c>
      <c r="C2">
        <f>SUM(Labor_ByYear!S:S)</f>
        <v/>
      </c>
      <c r="D2">
        <f>SUM(Labor_ByYear!T:T)</f>
        <v/>
      </c>
      <c r="E2">
        <f>SUM(Labor_ByYear!U:U)</f>
        <v/>
      </c>
      <c r="F2">
        <f>SUM(Labor_ByYear!V:V)</f>
        <v/>
      </c>
      <c r="G2">
        <f>SUM(Labor_ByYear!W:W)</f>
        <v/>
      </c>
      <c r="H2">
        <f>SUM(B2:G2)</f>
        <v/>
      </c>
    </row>
    <row r="3">
      <c r="A3" t="inlineStr">
        <is>
          <t>ODCs</t>
        </is>
      </c>
      <c r="B3">
        <f>SUM(ODCs_ByYear!K:K)</f>
        <v/>
      </c>
      <c r="C3">
        <f>SUM(ODCs_ByYear!L:L)</f>
        <v/>
      </c>
      <c r="D3">
        <f>SUM(ODCs_ByYear!M:M)</f>
        <v/>
      </c>
      <c r="E3">
        <f>SUM(ODCs_ByYear!N:N)</f>
        <v/>
      </c>
      <c r="F3">
        <f>SUM(ODCs_ByYear!O:O)</f>
        <v/>
      </c>
      <c r="G3">
        <f>SUM(ODCs_ByYear!P:P)</f>
        <v/>
      </c>
      <c r="H3">
        <f>SUM(B3:G3)</f>
        <v/>
      </c>
    </row>
    <row r="4">
      <c r="A4" t="inlineStr">
        <is>
          <t>Travel</t>
        </is>
      </c>
      <c r="B4">
        <f>SUM(Travel_ByYear!L:L)</f>
        <v/>
      </c>
      <c r="C4">
        <f>SUM(Travel_ByYear!M:M)</f>
        <v/>
      </c>
      <c r="D4">
        <f>SUM(Travel_ByYear!N:N)</f>
        <v/>
      </c>
      <c r="E4">
        <f>SUM(Travel_ByYear!O:O)</f>
        <v/>
      </c>
      <c r="F4">
        <f>SUM(Travel_ByYear!P:P)</f>
        <v/>
      </c>
      <c r="G4">
        <f>SUM(Travel_ByYear!Q:Q)</f>
        <v/>
      </c>
      <c r="H4">
        <f>SUM(B4:G4)</f>
        <v/>
      </c>
    </row>
    <row r="5">
      <c r="A5" t="inlineStr">
        <is>
          <t>Subtotal (Base+OY1-5)</t>
        </is>
      </c>
      <c r="B5" t="inlineStr"/>
      <c r="C5" t="inlineStr"/>
      <c r="D5" t="inlineStr"/>
      <c r="E5" t="inlineStr"/>
      <c r="F5" t="inlineStr"/>
      <c r="G5" t="inlineStr"/>
      <c r="H5">
        <f>SUM(H2:H4)</f>
        <v/>
      </c>
    </row>
    <row r="6">
      <c r="A6" t="inlineStr">
        <is>
          <t>52.217-8 Applies (Y/N)</t>
        </is>
      </c>
      <c r="B6" t="inlineStr">
        <is>
          <t>Y</t>
        </is>
      </c>
      <c r="C6" t="inlineStr">
        <is>
          <t>Months</t>
        </is>
      </c>
      <c r="D6" t="n">
        <v>6</v>
      </c>
      <c r="E6" t="inlineStr"/>
      <c r="F6" t="inlineStr"/>
      <c r="G6" t="inlineStr"/>
      <c r="H6" t="inlineStr"/>
    </row>
    <row r="7">
      <c r="A7" t="inlineStr">
        <is>
          <t>52.217-8 Extension (by category)</t>
        </is>
      </c>
      <c r="B7" t="inlineStr"/>
      <c r="C7" t="inlineStr"/>
      <c r="D7" t="inlineStr"/>
      <c r="E7" t="inlineStr"/>
      <c r="F7" t="inlineStr"/>
      <c r="G7" t="inlineStr"/>
      <c r="H7">
        <f>(IF($B$6="Y",$D$6/12*LOOKUP(2,1/(B2:G2&lt;&gt;0),B2:G2),0))+(IF($B$6="Y",$D$6/12*LOOKUP(2,1/(B3:G3&lt;&gt;0),B3:G3),0))+(IF($B$6="Y",$D$6/12*LOOKUP(2,1/(B4:G4&lt;&gt;0),B4:G4),0))</f>
        <v/>
      </c>
    </row>
    <row r="8">
      <c r="A8" t="inlineStr">
        <is>
          <t>Grand Total incl. 52.217-8</t>
        </is>
      </c>
      <c r="B8" t="inlineStr"/>
      <c r="C8" t="inlineStr"/>
      <c r="D8" t="inlineStr"/>
      <c r="E8" t="inlineStr"/>
      <c r="F8" t="inlineStr"/>
      <c r="G8" t="inlineStr"/>
      <c r="H8">
        <f>H5+H7</f>
        <v/>
      </c>
    </row>
  </sheetData>
  <dataValidations count="1">
    <dataValidation sqref="B6" showErrorMessage="1" showInputMessage="1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Year</t>
        </is>
      </c>
      <c r="B1" s="1" t="inlineStr">
        <is>
          <t>Factor</t>
        </is>
      </c>
    </row>
    <row r="2">
      <c r="A2" t="inlineStr">
        <is>
          <t>Base</t>
        </is>
      </c>
      <c r="B2" t="n">
        <v>1</v>
      </c>
    </row>
    <row r="3">
      <c r="A3" t="inlineStr">
        <is>
          <t>OY1</t>
        </is>
      </c>
      <c r="B3" t="n">
        <v>1.02</v>
      </c>
    </row>
    <row r="4">
      <c r="A4" t="inlineStr">
        <is>
          <t>OY2</t>
        </is>
      </c>
      <c r="B4" t="n">
        <v>1.03</v>
      </c>
    </row>
    <row r="5">
      <c r="A5" t="inlineStr">
        <is>
          <t>OY3</t>
        </is>
      </c>
      <c r="B5" t="n">
        <v>1.04</v>
      </c>
    </row>
    <row r="6">
      <c r="A6" t="inlineStr">
        <is>
          <t>OY4</t>
        </is>
      </c>
      <c r="B6" t="n">
        <v>1.05</v>
      </c>
    </row>
    <row r="7">
      <c r="A7" t="inlineStr">
        <is>
          <t>OY5</t>
        </is>
      </c>
      <c r="B7" t="n">
        <v>1.06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Labor_Category</t>
        </is>
      </c>
      <c r="B1" s="1" t="inlineStr">
        <is>
          <t>FTE_or_Hours</t>
        </is>
      </c>
      <c r="C1" s="1" t="inlineStr">
        <is>
          <t>Unit(FTE/Hr)</t>
        </is>
      </c>
      <c r="D1" s="1" t="inlineStr">
        <is>
          <t>Site</t>
        </is>
      </c>
      <c r="E1" s="1" t="inlineStr">
        <is>
          <t>Base_Rate</t>
        </is>
      </c>
      <c r="F1" s="1" t="inlineStr">
        <is>
          <t>Fringe_%</t>
        </is>
      </c>
      <c r="G1" s="1" t="inlineStr">
        <is>
          <t>OH_%</t>
        </is>
      </c>
      <c r="H1" s="1" t="inlineStr">
        <is>
          <t>G&amp;A_%</t>
        </is>
      </c>
      <c r="I1" s="1" t="inlineStr">
        <is>
          <t>Fee_%</t>
        </is>
      </c>
      <c r="J1" s="1" t="inlineStr">
        <is>
          <t>Hours</t>
        </is>
      </c>
      <c r="K1" s="1" t="inlineStr">
        <is>
          <t>Burdened_Rate</t>
        </is>
      </c>
      <c r="L1" s="1" t="inlineStr">
        <is>
          <t>Inc_Base</t>
        </is>
      </c>
      <c r="M1" s="1" t="inlineStr">
        <is>
          <t>Inc_OY1</t>
        </is>
      </c>
      <c r="N1" s="1" t="inlineStr">
        <is>
          <t>Inc_OY2</t>
        </is>
      </c>
      <c r="O1" s="1" t="inlineStr">
        <is>
          <t>Inc_OY3</t>
        </is>
      </c>
      <c r="P1" s="1" t="inlineStr">
        <is>
          <t>Inc_OY4</t>
        </is>
      </c>
      <c r="Q1" s="1" t="inlineStr">
        <is>
          <t>Inc_OY5</t>
        </is>
      </c>
      <c r="R1" s="1" t="inlineStr">
        <is>
          <t>Notes</t>
        </is>
      </c>
      <c r="S1" s="1" t="inlineStr">
        <is>
          <t>Base</t>
        </is>
      </c>
      <c r="T1" s="1" t="inlineStr">
        <is>
          <t>OY1</t>
        </is>
      </c>
      <c r="U1" s="1" t="inlineStr">
        <is>
          <t>OY2</t>
        </is>
      </c>
      <c r="V1" s="1" t="inlineStr">
        <is>
          <t>OY3</t>
        </is>
      </c>
      <c r="W1" s="1" t="inlineStr">
        <is>
          <t>OY4</t>
        </is>
      </c>
      <c r="X1" s="1" t="inlineStr">
        <is>
          <t>OY5</t>
        </is>
      </c>
      <c r="Y1" s="1" t="inlineStr">
        <is>
          <t>Total</t>
        </is>
      </c>
    </row>
    <row r="2">
      <c r="J2">
        <f>IF(C2="FTE",B2*1880,B2)</f>
        <v/>
      </c>
      <c r="K2">
        <f>E2*(1+F2)*(1+G2)*(1+H2)*(1+I2)</f>
        <v/>
      </c>
      <c r="R2">
        <f>IF(L2="Y",J2*K2*Escalation!$B$2,0)</f>
        <v/>
      </c>
      <c r="S2">
        <f>IF(M2="Y",J2*K2*Escalation!$B$3,0)</f>
        <v/>
      </c>
      <c r="T2">
        <f>IF(N2="Y",J2*K2*Escalation!$B$4,0)</f>
        <v/>
      </c>
      <c r="U2">
        <f>IF(O2="Y",J2*K2*Escalation!$B$5,0)</f>
        <v/>
      </c>
      <c r="V2">
        <f>IF(P2="Y",J2*K2*Escalation!$B$6,0)</f>
        <v/>
      </c>
      <c r="W2">
        <f>IF(Q2="Y",J2*K2*Escalation!$B$7,0)</f>
        <v/>
      </c>
      <c r="X2">
        <f>SUM(R2:W2)</f>
        <v/>
      </c>
    </row>
    <row r="3">
      <c r="J3">
        <f>IF(C3="FTE",B3*1880,B3)</f>
        <v/>
      </c>
      <c r="K3">
        <f>E3*(1+F3)*(1+G3)*(1+H3)*(1+I3)</f>
        <v/>
      </c>
      <c r="R3">
        <f>IF(L3="Y",J3*K3*Escalation!$B$2,0)</f>
        <v/>
      </c>
      <c r="S3">
        <f>IF(M3="Y",J3*K3*Escalation!$B$3,0)</f>
        <v/>
      </c>
      <c r="T3">
        <f>IF(N3="Y",J3*K3*Escalation!$B$4,0)</f>
        <v/>
      </c>
      <c r="U3">
        <f>IF(O3="Y",J3*K3*Escalation!$B$5,0)</f>
        <v/>
      </c>
      <c r="V3">
        <f>IF(P3="Y",J3*K3*Escalation!$B$6,0)</f>
        <v/>
      </c>
      <c r="W3">
        <f>IF(Q3="Y",J3*K3*Escalation!$B$7,0)</f>
        <v/>
      </c>
      <c r="X3">
        <f>SUM(R3:W3)</f>
        <v/>
      </c>
    </row>
    <row r="4">
      <c r="J4">
        <f>IF(C4="FTE",B4*1880,B4)</f>
        <v/>
      </c>
      <c r="K4">
        <f>E4*(1+F4)*(1+G4)*(1+H4)*(1+I4)</f>
        <v/>
      </c>
      <c r="R4">
        <f>IF(L4="Y",J4*K4*Escalation!$B$2,0)</f>
        <v/>
      </c>
      <c r="S4">
        <f>IF(M4="Y",J4*K4*Escalation!$B$3,0)</f>
        <v/>
      </c>
      <c r="T4">
        <f>IF(N4="Y",J4*K4*Escalation!$B$4,0)</f>
        <v/>
      </c>
      <c r="U4">
        <f>IF(O4="Y",J4*K4*Escalation!$B$5,0)</f>
        <v/>
      </c>
      <c r="V4">
        <f>IF(P4="Y",J4*K4*Escalation!$B$6,0)</f>
        <v/>
      </c>
      <c r="W4">
        <f>IF(Q4="Y",J4*K4*Escalation!$B$7,0)</f>
        <v/>
      </c>
      <c r="X4">
        <f>SUM(R4:W4)</f>
        <v/>
      </c>
    </row>
    <row r="5">
      <c r="J5">
        <f>IF(C5="FTE",B5*1880,B5)</f>
        <v/>
      </c>
      <c r="K5">
        <f>E5*(1+F5)*(1+G5)*(1+H5)*(1+I5)</f>
        <v/>
      </c>
      <c r="R5">
        <f>IF(L5="Y",J5*K5*Escalation!$B$2,0)</f>
        <v/>
      </c>
      <c r="S5">
        <f>IF(M5="Y",J5*K5*Escalation!$B$3,0)</f>
        <v/>
      </c>
      <c r="T5">
        <f>IF(N5="Y",J5*K5*Escalation!$B$4,0)</f>
        <v/>
      </c>
      <c r="U5">
        <f>IF(O5="Y",J5*K5*Escalation!$B$5,0)</f>
        <v/>
      </c>
      <c r="V5">
        <f>IF(P5="Y",J5*K5*Escalation!$B$6,0)</f>
        <v/>
      </c>
      <c r="W5">
        <f>IF(Q5="Y",J5*K5*Escalation!$B$7,0)</f>
        <v/>
      </c>
      <c r="X5">
        <f>SUM(R5:W5)</f>
        <v/>
      </c>
    </row>
    <row r="6">
      <c r="J6">
        <f>IF(C6="FTE",B6*1880,B6)</f>
        <v/>
      </c>
      <c r="K6">
        <f>E6*(1+F6)*(1+G6)*(1+H6)*(1+I6)</f>
        <v/>
      </c>
      <c r="R6">
        <f>IF(L6="Y",J6*K6*Escalation!$B$2,0)</f>
        <v/>
      </c>
      <c r="S6">
        <f>IF(M6="Y",J6*K6*Escalation!$B$3,0)</f>
        <v/>
      </c>
      <c r="T6">
        <f>IF(N6="Y",J6*K6*Escalation!$B$4,0)</f>
        <v/>
      </c>
      <c r="U6">
        <f>IF(O6="Y",J6*K6*Escalation!$B$5,0)</f>
        <v/>
      </c>
      <c r="V6">
        <f>IF(P6="Y",J6*K6*Escalation!$B$6,0)</f>
        <v/>
      </c>
      <c r="W6">
        <f>IF(Q6="Y",J6*K6*Escalation!$B$7,0)</f>
        <v/>
      </c>
      <c r="X6">
        <f>SUM(R6:W6)</f>
        <v/>
      </c>
    </row>
    <row r="7">
      <c r="J7">
        <f>IF(C7="FTE",B7*1880,B7)</f>
        <v/>
      </c>
      <c r="K7">
        <f>E7*(1+F7)*(1+G7)*(1+H7)*(1+I7)</f>
        <v/>
      </c>
      <c r="R7">
        <f>IF(L7="Y",J7*K7*Escalation!$B$2,0)</f>
        <v/>
      </c>
      <c r="S7">
        <f>IF(M7="Y",J7*K7*Escalation!$B$3,0)</f>
        <v/>
      </c>
      <c r="T7">
        <f>IF(N7="Y",J7*K7*Escalation!$B$4,0)</f>
        <v/>
      </c>
      <c r="U7">
        <f>IF(O7="Y",J7*K7*Escalation!$B$5,0)</f>
        <v/>
      </c>
      <c r="V7">
        <f>IF(P7="Y",J7*K7*Escalation!$B$6,0)</f>
        <v/>
      </c>
      <c r="W7">
        <f>IF(Q7="Y",J7*K7*Escalation!$B$7,0)</f>
        <v/>
      </c>
      <c r="X7">
        <f>SUM(R7:W7)</f>
        <v/>
      </c>
    </row>
    <row r="8">
      <c r="J8">
        <f>IF(C8="FTE",B8*1880,B8)</f>
        <v/>
      </c>
      <c r="K8">
        <f>E8*(1+F8)*(1+G8)*(1+H8)*(1+I8)</f>
        <v/>
      </c>
      <c r="R8">
        <f>IF(L8="Y",J8*K8*Escalation!$B$2,0)</f>
        <v/>
      </c>
      <c r="S8">
        <f>IF(M8="Y",J8*K8*Escalation!$B$3,0)</f>
        <v/>
      </c>
      <c r="T8">
        <f>IF(N8="Y",J8*K8*Escalation!$B$4,0)</f>
        <v/>
      </c>
      <c r="U8">
        <f>IF(O8="Y",J8*K8*Escalation!$B$5,0)</f>
        <v/>
      </c>
      <c r="V8">
        <f>IF(P8="Y",J8*K8*Escalation!$B$6,0)</f>
        <v/>
      </c>
      <c r="W8">
        <f>IF(Q8="Y",J8*K8*Escalation!$B$7,0)</f>
        <v/>
      </c>
      <c r="X8">
        <f>SUM(R8:W8)</f>
        <v/>
      </c>
    </row>
    <row r="9">
      <c r="J9">
        <f>IF(C9="FTE",B9*1880,B9)</f>
        <v/>
      </c>
      <c r="K9">
        <f>E9*(1+F9)*(1+G9)*(1+H9)*(1+I9)</f>
        <v/>
      </c>
      <c r="R9">
        <f>IF(L9="Y",J9*K9*Escalation!$B$2,0)</f>
        <v/>
      </c>
      <c r="S9">
        <f>IF(M9="Y",J9*K9*Escalation!$B$3,0)</f>
        <v/>
      </c>
      <c r="T9">
        <f>IF(N9="Y",J9*K9*Escalation!$B$4,0)</f>
        <v/>
      </c>
      <c r="U9">
        <f>IF(O9="Y",J9*K9*Escalation!$B$5,0)</f>
        <v/>
      </c>
      <c r="V9">
        <f>IF(P9="Y",J9*K9*Escalation!$B$6,0)</f>
        <v/>
      </c>
      <c r="W9">
        <f>IF(Q9="Y",J9*K9*Escalation!$B$7,0)</f>
        <v/>
      </c>
      <c r="X9">
        <f>SUM(R9:W9)</f>
        <v/>
      </c>
    </row>
    <row r="10">
      <c r="J10">
        <f>IF(C10="FTE",B10*1880,B10)</f>
        <v/>
      </c>
      <c r="K10">
        <f>E10*(1+F10)*(1+G10)*(1+H10)*(1+I10)</f>
        <v/>
      </c>
      <c r="R10">
        <f>IF(L10="Y",J10*K10*Escalation!$B$2,0)</f>
        <v/>
      </c>
      <c r="S10">
        <f>IF(M10="Y",J10*K10*Escalation!$B$3,0)</f>
        <v/>
      </c>
      <c r="T10">
        <f>IF(N10="Y",J10*K10*Escalation!$B$4,0)</f>
        <v/>
      </c>
      <c r="U10">
        <f>IF(O10="Y",J10*K10*Escalation!$B$5,0)</f>
        <v/>
      </c>
      <c r="V10">
        <f>IF(P10="Y",J10*K10*Escalation!$B$6,0)</f>
        <v/>
      </c>
      <c r="W10">
        <f>IF(Q10="Y",J10*K10*Escalation!$B$7,0)</f>
        <v/>
      </c>
      <c r="X10">
        <f>SUM(R10:W10)</f>
        <v/>
      </c>
    </row>
    <row r="11">
      <c r="J11">
        <f>IF(C11="FTE",B11*1880,B11)</f>
        <v/>
      </c>
      <c r="K11">
        <f>E11*(1+F11)*(1+G11)*(1+H11)*(1+I11)</f>
        <v/>
      </c>
      <c r="R11">
        <f>IF(L11="Y",J11*K11*Escalation!$B$2,0)</f>
        <v/>
      </c>
      <c r="S11">
        <f>IF(M11="Y",J11*K11*Escalation!$B$3,0)</f>
        <v/>
      </c>
      <c r="T11">
        <f>IF(N11="Y",J11*K11*Escalation!$B$4,0)</f>
        <v/>
      </c>
      <c r="U11">
        <f>IF(O11="Y",J11*K11*Escalation!$B$5,0)</f>
        <v/>
      </c>
      <c r="V11">
        <f>IF(P11="Y",J11*K11*Escalation!$B$6,0)</f>
        <v/>
      </c>
      <c r="W11">
        <f>IF(Q11="Y",J11*K11*Escalation!$B$7,0)</f>
        <v/>
      </c>
      <c r="X11">
        <f>SUM(R11:W11)</f>
        <v/>
      </c>
    </row>
    <row r="12">
      <c r="J12">
        <f>IF(C12="FTE",B12*1880,B12)</f>
        <v/>
      </c>
      <c r="K12">
        <f>E12*(1+F12)*(1+G12)*(1+H12)*(1+I12)</f>
        <v/>
      </c>
      <c r="R12">
        <f>IF(L12="Y",J12*K12*Escalation!$B$2,0)</f>
        <v/>
      </c>
      <c r="S12">
        <f>IF(M12="Y",J12*K12*Escalation!$B$3,0)</f>
        <v/>
      </c>
      <c r="T12">
        <f>IF(N12="Y",J12*K12*Escalation!$B$4,0)</f>
        <v/>
      </c>
      <c r="U12">
        <f>IF(O12="Y",J12*K12*Escalation!$B$5,0)</f>
        <v/>
      </c>
      <c r="V12">
        <f>IF(P12="Y",J12*K12*Escalation!$B$6,0)</f>
        <v/>
      </c>
      <c r="W12">
        <f>IF(Q12="Y",J12*K12*Escalation!$B$7,0)</f>
        <v/>
      </c>
      <c r="X12">
        <f>SUM(R12:W12)</f>
        <v/>
      </c>
    </row>
    <row r="13">
      <c r="J13">
        <f>IF(C13="FTE",B13*1880,B13)</f>
        <v/>
      </c>
      <c r="K13">
        <f>E13*(1+F13)*(1+G13)*(1+H13)*(1+I13)</f>
        <v/>
      </c>
      <c r="R13">
        <f>IF(L13="Y",J13*K13*Escalation!$B$2,0)</f>
        <v/>
      </c>
      <c r="S13">
        <f>IF(M13="Y",J13*K13*Escalation!$B$3,0)</f>
        <v/>
      </c>
      <c r="T13">
        <f>IF(N13="Y",J13*K13*Escalation!$B$4,0)</f>
        <v/>
      </c>
      <c r="U13">
        <f>IF(O13="Y",J13*K13*Escalation!$B$5,0)</f>
        <v/>
      </c>
      <c r="V13">
        <f>IF(P13="Y",J13*K13*Escalation!$B$6,0)</f>
        <v/>
      </c>
      <c r="W13">
        <f>IF(Q13="Y",J13*K13*Escalation!$B$7,0)</f>
        <v/>
      </c>
      <c r="X13">
        <f>SUM(R13:W13)</f>
        <v/>
      </c>
    </row>
    <row r="14">
      <c r="J14">
        <f>IF(C14="FTE",B14*1880,B14)</f>
        <v/>
      </c>
      <c r="K14">
        <f>E14*(1+F14)*(1+G14)*(1+H14)*(1+I14)</f>
        <v/>
      </c>
      <c r="R14">
        <f>IF(L14="Y",J14*K14*Escalation!$B$2,0)</f>
        <v/>
      </c>
      <c r="S14">
        <f>IF(M14="Y",J14*K14*Escalation!$B$3,0)</f>
        <v/>
      </c>
      <c r="T14">
        <f>IF(N14="Y",J14*K14*Escalation!$B$4,0)</f>
        <v/>
      </c>
      <c r="U14">
        <f>IF(O14="Y",J14*K14*Escalation!$B$5,0)</f>
        <v/>
      </c>
      <c r="V14">
        <f>IF(P14="Y",J14*K14*Escalation!$B$6,0)</f>
        <v/>
      </c>
      <c r="W14">
        <f>IF(Q14="Y",J14*K14*Escalation!$B$7,0)</f>
        <v/>
      </c>
      <c r="X14">
        <f>SUM(R14:W14)</f>
        <v/>
      </c>
    </row>
    <row r="15">
      <c r="J15">
        <f>IF(C15="FTE",B15*1880,B15)</f>
        <v/>
      </c>
      <c r="K15">
        <f>E15*(1+F15)*(1+G15)*(1+H15)*(1+I15)</f>
        <v/>
      </c>
      <c r="R15">
        <f>IF(L15="Y",J15*K15*Escalation!$B$2,0)</f>
        <v/>
      </c>
      <c r="S15">
        <f>IF(M15="Y",J15*K15*Escalation!$B$3,0)</f>
        <v/>
      </c>
      <c r="T15">
        <f>IF(N15="Y",J15*K15*Escalation!$B$4,0)</f>
        <v/>
      </c>
      <c r="U15">
        <f>IF(O15="Y",J15*K15*Escalation!$B$5,0)</f>
        <v/>
      </c>
      <c r="V15">
        <f>IF(P15="Y",J15*K15*Escalation!$B$6,0)</f>
        <v/>
      </c>
      <c r="W15">
        <f>IF(Q15="Y",J15*K15*Escalation!$B$7,0)</f>
        <v/>
      </c>
      <c r="X15">
        <f>SUM(R15:W15)</f>
        <v/>
      </c>
    </row>
    <row r="16">
      <c r="J16">
        <f>IF(C16="FTE",B16*1880,B16)</f>
        <v/>
      </c>
      <c r="K16">
        <f>E16*(1+F16)*(1+G16)*(1+H16)*(1+I16)</f>
        <v/>
      </c>
      <c r="R16">
        <f>IF(L16="Y",J16*K16*Escalation!$B$2,0)</f>
        <v/>
      </c>
      <c r="S16">
        <f>IF(M16="Y",J16*K16*Escalation!$B$3,0)</f>
        <v/>
      </c>
      <c r="T16">
        <f>IF(N16="Y",J16*K16*Escalation!$B$4,0)</f>
        <v/>
      </c>
      <c r="U16">
        <f>IF(O16="Y",J16*K16*Escalation!$B$5,0)</f>
        <v/>
      </c>
      <c r="V16">
        <f>IF(P16="Y",J16*K16*Escalation!$B$6,0)</f>
        <v/>
      </c>
      <c r="W16">
        <f>IF(Q16="Y",J16*K16*Escalation!$B$7,0)</f>
        <v/>
      </c>
      <c r="X16">
        <f>SUM(R16:W16)</f>
        <v/>
      </c>
    </row>
    <row r="17">
      <c r="J17">
        <f>IF(C17="FTE",B17*1880,B17)</f>
        <v/>
      </c>
      <c r="K17">
        <f>E17*(1+F17)*(1+G17)*(1+H17)*(1+I17)</f>
        <v/>
      </c>
      <c r="R17">
        <f>IF(L17="Y",J17*K17*Escalation!$B$2,0)</f>
        <v/>
      </c>
      <c r="S17">
        <f>IF(M17="Y",J17*K17*Escalation!$B$3,0)</f>
        <v/>
      </c>
      <c r="T17">
        <f>IF(N17="Y",J17*K17*Escalation!$B$4,0)</f>
        <v/>
      </c>
      <c r="U17">
        <f>IF(O17="Y",J17*K17*Escalation!$B$5,0)</f>
        <v/>
      </c>
      <c r="V17">
        <f>IF(P17="Y",J17*K17*Escalation!$B$6,0)</f>
        <v/>
      </c>
      <c r="W17">
        <f>IF(Q17="Y",J17*K17*Escalation!$B$7,0)</f>
        <v/>
      </c>
      <c r="X17">
        <f>SUM(R17:W17)</f>
        <v/>
      </c>
    </row>
    <row r="18">
      <c r="J18">
        <f>IF(C18="FTE",B18*1880,B18)</f>
        <v/>
      </c>
      <c r="K18">
        <f>E18*(1+F18)*(1+G18)*(1+H18)*(1+I18)</f>
        <v/>
      </c>
      <c r="R18">
        <f>IF(L18="Y",J18*K18*Escalation!$B$2,0)</f>
        <v/>
      </c>
      <c r="S18">
        <f>IF(M18="Y",J18*K18*Escalation!$B$3,0)</f>
        <v/>
      </c>
      <c r="T18">
        <f>IF(N18="Y",J18*K18*Escalation!$B$4,0)</f>
        <v/>
      </c>
      <c r="U18">
        <f>IF(O18="Y",J18*K18*Escalation!$B$5,0)</f>
        <v/>
      </c>
      <c r="V18">
        <f>IF(P18="Y",J18*K18*Escalation!$B$6,0)</f>
        <v/>
      </c>
      <c r="W18">
        <f>IF(Q18="Y",J18*K18*Escalation!$B$7,0)</f>
        <v/>
      </c>
      <c r="X18">
        <f>SUM(R18:W18)</f>
        <v/>
      </c>
    </row>
    <row r="19">
      <c r="J19">
        <f>IF(C19="FTE",B19*1880,B19)</f>
        <v/>
      </c>
      <c r="K19">
        <f>E19*(1+F19)*(1+G19)*(1+H19)*(1+I19)</f>
        <v/>
      </c>
      <c r="R19">
        <f>IF(L19="Y",J19*K19*Escalation!$B$2,0)</f>
        <v/>
      </c>
      <c r="S19">
        <f>IF(M19="Y",J19*K19*Escalation!$B$3,0)</f>
        <v/>
      </c>
      <c r="T19">
        <f>IF(N19="Y",J19*K19*Escalation!$B$4,0)</f>
        <v/>
      </c>
      <c r="U19">
        <f>IF(O19="Y",J19*K19*Escalation!$B$5,0)</f>
        <v/>
      </c>
      <c r="V19">
        <f>IF(P19="Y",J19*K19*Escalation!$B$6,0)</f>
        <v/>
      </c>
      <c r="W19">
        <f>IF(Q19="Y",J19*K19*Escalation!$B$7,0)</f>
        <v/>
      </c>
      <c r="X19">
        <f>SUM(R19:W19)</f>
        <v/>
      </c>
    </row>
    <row r="20">
      <c r="J20">
        <f>IF(C20="FTE",B20*1880,B20)</f>
        <v/>
      </c>
      <c r="K20">
        <f>E20*(1+F20)*(1+G20)*(1+H20)*(1+I20)</f>
        <v/>
      </c>
      <c r="R20">
        <f>IF(L20="Y",J20*K20*Escalation!$B$2,0)</f>
        <v/>
      </c>
      <c r="S20">
        <f>IF(M20="Y",J20*K20*Escalation!$B$3,0)</f>
        <v/>
      </c>
      <c r="T20">
        <f>IF(N20="Y",J20*K20*Escalation!$B$4,0)</f>
        <v/>
      </c>
      <c r="U20">
        <f>IF(O20="Y",J20*K20*Escalation!$B$5,0)</f>
        <v/>
      </c>
      <c r="V20">
        <f>IF(P20="Y",J20*K20*Escalation!$B$6,0)</f>
        <v/>
      </c>
      <c r="W20">
        <f>IF(Q20="Y",J20*K20*Escalation!$B$7,0)</f>
        <v/>
      </c>
      <c r="X20">
        <f>SUM(R20:W20)</f>
        <v/>
      </c>
    </row>
    <row r="21">
      <c r="J21">
        <f>IF(C21="FTE",B21*1880,B21)</f>
        <v/>
      </c>
      <c r="K21">
        <f>E21*(1+F21)*(1+G21)*(1+H21)*(1+I21)</f>
        <v/>
      </c>
      <c r="R21">
        <f>IF(L21="Y",J21*K21*Escalation!$B$2,0)</f>
        <v/>
      </c>
      <c r="S21">
        <f>IF(M21="Y",J21*K21*Escalation!$B$3,0)</f>
        <v/>
      </c>
      <c r="T21">
        <f>IF(N21="Y",J21*K21*Escalation!$B$4,0)</f>
        <v/>
      </c>
      <c r="U21">
        <f>IF(O21="Y",J21*K21*Escalation!$B$5,0)</f>
        <v/>
      </c>
      <c r="V21">
        <f>IF(P21="Y",J21*K21*Escalation!$B$6,0)</f>
        <v/>
      </c>
      <c r="W21">
        <f>IF(Q21="Y",J21*K21*Escalation!$B$7,0)</f>
        <v/>
      </c>
      <c r="X21">
        <f>SUM(R21:W21)</f>
        <v/>
      </c>
    </row>
    <row r="22">
      <c r="J22">
        <f>IF(C22="FTE",B22*1880,B22)</f>
        <v/>
      </c>
      <c r="K22">
        <f>E22*(1+F22)*(1+G22)*(1+H22)*(1+I22)</f>
        <v/>
      </c>
      <c r="R22">
        <f>IF(L22="Y",J22*K22*Escalation!$B$2,0)</f>
        <v/>
      </c>
      <c r="S22">
        <f>IF(M22="Y",J22*K22*Escalation!$B$3,0)</f>
        <v/>
      </c>
      <c r="T22">
        <f>IF(N22="Y",J22*K22*Escalation!$B$4,0)</f>
        <v/>
      </c>
      <c r="U22">
        <f>IF(O22="Y",J22*K22*Escalation!$B$5,0)</f>
        <v/>
      </c>
      <c r="V22">
        <f>IF(P22="Y",J22*K22*Escalation!$B$6,0)</f>
        <v/>
      </c>
      <c r="W22">
        <f>IF(Q22="Y",J22*K22*Escalation!$B$7,0)</f>
        <v/>
      </c>
      <c r="X22">
        <f>SUM(R22:W22)</f>
        <v/>
      </c>
    </row>
    <row r="23">
      <c r="J23">
        <f>IF(C23="FTE",B23*1880,B23)</f>
        <v/>
      </c>
      <c r="K23">
        <f>E23*(1+F23)*(1+G23)*(1+H23)*(1+I23)</f>
        <v/>
      </c>
      <c r="R23">
        <f>IF(L23="Y",J23*K23*Escalation!$B$2,0)</f>
        <v/>
      </c>
      <c r="S23">
        <f>IF(M23="Y",J23*K23*Escalation!$B$3,0)</f>
        <v/>
      </c>
      <c r="T23">
        <f>IF(N23="Y",J23*K23*Escalation!$B$4,0)</f>
        <v/>
      </c>
      <c r="U23">
        <f>IF(O23="Y",J23*K23*Escalation!$B$5,0)</f>
        <v/>
      </c>
      <c r="V23">
        <f>IF(P23="Y",J23*K23*Escalation!$B$6,0)</f>
        <v/>
      </c>
      <c r="W23">
        <f>IF(Q23="Y",J23*K23*Escalation!$B$7,0)</f>
        <v/>
      </c>
      <c r="X23">
        <f>SUM(R23:W23)</f>
        <v/>
      </c>
    </row>
    <row r="24">
      <c r="J24">
        <f>IF(C24="FTE",B24*1880,B24)</f>
        <v/>
      </c>
      <c r="K24">
        <f>E24*(1+F24)*(1+G24)*(1+H24)*(1+I24)</f>
        <v/>
      </c>
      <c r="R24">
        <f>IF(L24="Y",J24*K24*Escalation!$B$2,0)</f>
        <v/>
      </c>
      <c r="S24">
        <f>IF(M24="Y",J24*K24*Escalation!$B$3,0)</f>
        <v/>
      </c>
      <c r="T24">
        <f>IF(N24="Y",J24*K24*Escalation!$B$4,0)</f>
        <v/>
      </c>
      <c r="U24">
        <f>IF(O24="Y",J24*K24*Escalation!$B$5,0)</f>
        <v/>
      </c>
      <c r="V24">
        <f>IF(P24="Y",J24*K24*Escalation!$B$6,0)</f>
        <v/>
      </c>
      <c r="W24">
        <f>IF(Q24="Y",J24*K24*Escalation!$B$7,0)</f>
        <v/>
      </c>
      <c r="X24">
        <f>SUM(R24:W24)</f>
        <v/>
      </c>
    </row>
    <row r="25">
      <c r="J25">
        <f>IF(C25="FTE",B25*1880,B25)</f>
        <v/>
      </c>
      <c r="K25">
        <f>E25*(1+F25)*(1+G25)*(1+H25)*(1+I25)</f>
        <v/>
      </c>
      <c r="R25">
        <f>IF(L25="Y",J25*K25*Escalation!$B$2,0)</f>
        <v/>
      </c>
      <c r="S25">
        <f>IF(M25="Y",J25*K25*Escalation!$B$3,0)</f>
        <v/>
      </c>
      <c r="T25">
        <f>IF(N25="Y",J25*K25*Escalation!$B$4,0)</f>
        <v/>
      </c>
      <c r="U25">
        <f>IF(O25="Y",J25*K25*Escalation!$B$5,0)</f>
        <v/>
      </c>
      <c r="V25">
        <f>IF(P25="Y",J25*K25*Escalation!$B$6,0)</f>
        <v/>
      </c>
      <c r="W25">
        <f>IF(Q25="Y",J25*K25*Escalation!$B$7,0)</f>
        <v/>
      </c>
      <c r="X25">
        <f>SUM(R25:W25)</f>
        <v/>
      </c>
    </row>
    <row r="26">
      <c r="J26">
        <f>IF(C26="FTE",B26*1880,B26)</f>
        <v/>
      </c>
      <c r="K26">
        <f>E26*(1+F26)*(1+G26)*(1+H26)*(1+I26)</f>
        <v/>
      </c>
      <c r="R26">
        <f>IF(L26="Y",J26*K26*Escalation!$B$2,0)</f>
        <v/>
      </c>
      <c r="S26">
        <f>IF(M26="Y",J26*K26*Escalation!$B$3,0)</f>
        <v/>
      </c>
      <c r="T26">
        <f>IF(N26="Y",J26*K26*Escalation!$B$4,0)</f>
        <v/>
      </c>
      <c r="U26">
        <f>IF(O26="Y",J26*K26*Escalation!$B$5,0)</f>
        <v/>
      </c>
      <c r="V26">
        <f>IF(P26="Y",J26*K26*Escalation!$B$6,0)</f>
        <v/>
      </c>
      <c r="W26">
        <f>IF(Q26="Y",J26*K26*Escalation!$B$7,0)</f>
        <v/>
      </c>
      <c r="X26">
        <f>SUM(R26:W26)</f>
        <v/>
      </c>
    </row>
    <row r="27">
      <c r="J27">
        <f>IF(C27="FTE",B27*1880,B27)</f>
        <v/>
      </c>
      <c r="K27">
        <f>E27*(1+F27)*(1+G27)*(1+H27)*(1+I27)</f>
        <v/>
      </c>
      <c r="R27">
        <f>IF(L27="Y",J27*K27*Escalation!$B$2,0)</f>
        <v/>
      </c>
      <c r="S27">
        <f>IF(M27="Y",J27*K27*Escalation!$B$3,0)</f>
        <v/>
      </c>
      <c r="T27">
        <f>IF(N27="Y",J27*K27*Escalation!$B$4,0)</f>
        <v/>
      </c>
      <c r="U27">
        <f>IF(O27="Y",J27*K27*Escalation!$B$5,0)</f>
        <v/>
      </c>
      <c r="V27">
        <f>IF(P27="Y",J27*K27*Escalation!$B$6,0)</f>
        <v/>
      </c>
      <c r="W27">
        <f>IF(Q27="Y",J27*K27*Escalation!$B$7,0)</f>
        <v/>
      </c>
      <c r="X27">
        <f>SUM(R27:W27)</f>
        <v/>
      </c>
    </row>
    <row r="28">
      <c r="J28">
        <f>IF(C28="FTE",B28*1880,B28)</f>
        <v/>
      </c>
      <c r="K28">
        <f>E28*(1+F28)*(1+G28)*(1+H28)*(1+I28)</f>
        <v/>
      </c>
      <c r="R28">
        <f>IF(L28="Y",J28*K28*Escalation!$B$2,0)</f>
        <v/>
      </c>
      <c r="S28">
        <f>IF(M28="Y",J28*K28*Escalation!$B$3,0)</f>
        <v/>
      </c>
      <c r="T28">
        <f>IF(N28="Y",J28*K28*Escalation!$B$4,0)</f>
        <v/>
      </c>
      <c r="U28">
        <f>IF(O28="Y",J28*K28*Escalation!$B$5,0)</f>
        <v/>
      </c>
      <c r="V28">
        <f>IF(P28="Y",J28*K28*Escalation!$B$6,0)</f>
        <v/>
      </c>
      <c r="W28">
        <f>IF(Q28="Y",J28*K28*Escalation!$B$7,0)</f>
        <v/>
      </c>
      <c r="X28">
        <f>SUM(R28:W28)</f>
        <v/>
      </c>
    </row>
    <row r="29">
      <c r="J29">
        <f>IF(C29="FTE",B29*1880,B29)</f>
        <v/>
      </c>
      <c r="K29">
        <f>E29*(1+F29)*(1+G29)*(1+H29)*(1+I29)</f>
        <v/>
      </c>
      <c r="R29">
        <f>IF(L29="Y",J29*K29*Escalation!$B$2,0)</f>
        <v/>
      </c>
      <c r="S29">
        <f>IF(M29="Y",J29*K29*Escalation!$B$3,0)</f>
        <v/>
      </c>
      <c r="T29">
        <f>IF(N29="Y",J29*K29*Escalation!$B$4,0)</f>
        <v/>
      </c>
      <c r="U29">
        <f>IF(O29="Y",J29*K29*Escalation!$B$5,0)</f>
        <v/>
      </c>
      <c r="V29">
        <f>IF(P29="Y",J29*K29*Escalation!$B$6,0)</f>
        <v/>
      </c>
      <c r="W29">
        <f>IF(Q29="Y",J29*K29*Escalation!$B$7,0)</f>
        <v/>
      </c>
      <c r="X29">
        <f>SUM(R29:W29)</f>
        <v/>
      </c>
    </row>
    <row r="30">
      <c r="J30">
        <f>IF(C30="FTE",B30*1880,B30)</f>
        <v/>
      </c>
      <c r="K30">
        <f>E30*(1+F30)*(1+G30)*(1+H30)*(1+I30)</f>
        <v/>
      </c>
      <c r="R30">
        <f>IF(L30="Y",J30*K30*Escalation!$B$2,0)</f>
        <v/>
      </c>
      <c r="S30">
        <f>IF(M30="Y",J30*K30*Escalation!$B$3,0)</f>
        <v/>
      </c>
      <c r="T30">
        <f>IF(N30="Y",J30*K30*Escalation!$B$4,0)</f>
        <v/>
      </c>
      <c r="U30">
        <f>IF(O30="Y",J30*K30*Escalation!$B$5,0)</f>
        <v/>
      </c>
      <c r="V30">
        <f>IF(P30="Y",J30*K30*Escalation!$B$6,0)</f>
        <v/>
      </c>
      <c r="W30">
        <f>IF(Q30="Y",J30*K30*Escalation!$B$7,0)</f>
        <v/>
      </c>
      <c r="X30">
        <f>SUM(R30:W30)</f>
        <v/>
      </c>
    </row>
    <row r="31">
      <c r="J31">
        <f>IF(C31="FTE",B31*1880,B31)</f>
        <v/>
      </c>
      <c r="K31">
        <f>E31*(1+F31)*(1+G31)*(1+H31)*(1+I31)</f>
        <v/>
      </c>
      <c r="R31">
        <f>IF(L31="Y",J31*K31*Escalation!$B$2,0)</f>
        <v/>
      </c>
      <c r="S31">
        <f>IF(M31="Y",J31*K31*Escalation!$B$3,0)</f>
        <v/>
      </c>
      <c r="T31">
        <f>IF(N31="Y",J31*K31*Escalation!$B$4,0)</f>
        <v/>
      </c>
      <c r="U31">
        <f>IF(O31="Y",J31*K31*Escalation!$B$5,0)</f>
        <v/>
      </c>
      <c r="V31">
        <f>IF(P31="Y",J31*K31*Escalation!$B$6,0)</f>
        <v/>
      </c>
      <c r="W31">
        <f>IF(Q31="Y",J31*K31*Escalation!$B$7,0)</f>
        <v/>
      </c>
      <c r="X31">
        <f>SUM(R31:W31)</f>
        <v/>
      </c>
    </row>
    <row r="32">
      <c r="J32">
        <f>IF(C32="FTE",B32*1880,B32)</f>
        <v/>
      </c>
      <c r="K32">
        <f>E32*(1+F32)*(1+G32)*(1+H32)*(1+I32)</f>
        <v/>
      </c>
      <c r="R32">
        <f>IF(L32="Y",J32*K32*Escalation!$B$2,0)</f>
        <v/>
      </c>
      <c r="S32">
        <f>IF(M32="Y",J32*K32*Escalation!$B$3,0)</f>
        <v/>
      </c>
      <c r="T32">
        <f>IF(N32="Y",J32*K32*Escalation!$B$4,0)</f>
        <v/>
      </c>
      <c r="U32">
        <f>IF(O32="Y",J32*K32*Escalation!$B$5,0)</f>
        <v/>
      </c>
      <c r="V32">
        <f>IF(P32="Y",J32*K32*Escalation!$B$6,0)</f>
        <v/>
      </c>
      <c r="W32">
        <f>IF(Q32="Y",J32*K32*Escalation!$B$7,0)</f>
        <v/>
      </c>
      <c r="X32">
        <f>SUM(R32:W32)</f>
        <v/>
      </c>
    </row>
    <row r="33">
      <c r="J33">
        <f>IF(C33="FTE",B33*1880,B33)</f>
        <v/>
      </c>
      <c r="K33">
        <f>E33*(1+F33)*(1+G33)*(1+H33)*(1+I33)</f>
        <v/>
      </c>
      <c r="R33">
        <f>IF(L33="Y",J33*K33*Escalation!$B$2,0)</f>
        <v/>
      </c>
      <c r="S33">
        <f>IF(M33="Y",J33*K33*Escalation!$B$3,0)</f>
        <v/>
      </c>
      <c r="T33">
        <f>IF(N33="Y",J33*K33*Escalation!$B$4,0)</f>
        <v/>
      </c>
      <c r="U33">
        <f>IF(O33="Y",J33*K33*Escalation!$B$5,0)</f>
        <v/>
      </c>
      <c r="V33">
        <f>IF(P33="Y",J33*K33*Escalation!$B$6,0)</f>
        <v/>
      </c>
      <c r="W33">
        <f>IF(Q33="Y",J33*K33*Escalation!$B$7,0)</f>
        <v/>
      </c>
      <c r="X33">
        <f>SUM(R33:W33)</f>
        <v/>
      </c>
    </row>
    <row r="34">
      <c r="J34">
        <f>IF(C34="FTE",B34*1880,B34)</f>
        <v/>
      </c>
      <c r="K34">
        <f>E34*(1+F34)*(1+G34)*(1+H34)*(1+I34)</f>
        <v/>
      </c>
      <c r="R34">
        <f>IF(L34="Y",J34*K34*Escalation!$B$2,0)</f>
        <v/>
      </c>
      <c r="S34">
        <f>IF(M34="Y",J34*K34*Escalation!$B$3,0)</f>
        <v/>
      </c>
      <c r="T34">
        <f>IF(N34="Y",J34*K34*Escalation!$B$4,0)</f>
        <v/>
      </c>
      <c r="U34">
        <f>IF(O34="Y",J34*K34*Escalation!$B$5,0)</f>
        <v/>
      </c>
      <c r="V34">
        <f>IF(P34="Y",J34*K34*Escalation!$B$6,0)</f>
        <v/>
      </c>
      <c r="W34">
        <f>IF(Q34="Y",J34*K34*Escalation!$B$7,0)</f>
        <v/>
      </c>
      <c r="X34">
        <f>SUM(R34:W34)</f>
        <v/>
      </c>
    </row>
    <row r="35">
      <c r="J35">
        <f>IF(C35="FTE",B35*1880,B35)</f>
        <v/>
      </c>
      <c r="K35">
        <f>E35*(1+F35)*(1+G35)*(1+H35)*(1+I35)</f>
        <v/>
      </c>
      <c r="R35">
        <f>IF(L35="Y",J35*K35*Escalation!$B$2,0)</f>
        <v/>
      </c>
      <c r="S35">
        <f>IF(M35="Y",J35*K35*Escalation!$B$3,0)</f>
        <v/>
      </c>
      <c r="T35">
        <f>IF(N35="Y",J35*K35*Escalation!$B$4,0)</f>
        <v/>
      </c>
      <c r="U35">
        <f>IF(O35="Y",J35*K35*Escalation!$B$5,0)</f>
        <v/>
      </c>
      <c r="V35">
        <f>IF(P35="Y",J35*K35*Escalation!$B$6,0)</f>
        <v/>
      </c>
      <c r="W35">
        <f>IF(Q35="Y",J35*K35*Escalation!$B$7,0)</f>
        <v/>
      </c>
      <c r="X35">
        <f>SUM(R35:W35)</f>
        <v/>
      </c>
    </row>
    <row r="36">
      <c r="J36">
        <f>IF(C36="FTE",B36*1880,B36)</f>
        <v/>
      </c>
      <c r="K36">
        <f>E36*(1+F36)*(1+G36)*(1+H36)*(1+I36)</f>
        <v/>
      </c>
      <c r="R36">
        <f>IF(L36="Y",J36*K36*Escalation!$B$2,0)</f>
        <v/>
      </c>
      <c r="S36">
        <f>IF(M36="Y",J36*K36*Escalation!$B$3,0)</f>
        <v/>
      </c>
      <c r="T36">
        <f>IF(N36="Y",J36*K36*Escalation!$B$4,0)</f>
        <v/>
      </c>
      <c r="U36">
        <f>IF(O36="Y",J36*K36*Escalation!$B$5,0)</f>
        <v/>
      </c>
      <c r="V36">
        <f>IF(P36="Y",J36*K36*Escalation!$B$6,0)</f>
        <v/>
      </c>
      <c r="W36">
        <f>IF(Q36="Y",J36*K36*Escalation!$B$7,0)</f>
        <v/>
      </c>
      <c r="X36">
        <f>SUM(R36:W36)</f>
        <v/>
      </c>
    </row>
    <row r="37">
      <c r="J37">
        <f>IF(C37="FTE",B37*1880,B37)</f>
        <v/>
      </c>
      <c r="K37">
        <f>E37*(1+F37)*(1+G37)*(1+H37)*(1+I37)</f>
        <v/>
      </c>
      <c r="R37">
        <f>IF(L37="Y",J37*K37*Escalation!$B$2,0)</f>
        <v/>
      </c>
      <c r="S37">
        <f>IF(M37="Y",J37*K37*Escalation!$B$3,0)</f>
        <v/>
      </c>
      <c r="T37">
        <f>IF(N37="Y",J37*K37*Escalation!$B$4,0)</f>
        <v/>
      </c>
      <c r="U37">
        <f>IF(O37="Y",J37*K37*Escalation!$B$5,0)</f>
        <v/>
      </c>
      <c r="V37">
        <f>IF(P37="Y",J37*K37*Escalation!$B$6,0)</f>
        <v/>
      </c>
      <c r="W37">
        <f>IF(Q37="Y",J37*K37*Escalation!$B$7,0)</f>
        <v/>
      </c>
      <c r="X37">
        <f>SUM(R37:W37)</f>
        <v/>
      </c>
    </row>
    <row r="38">
      <c r="J38">
        <f>IF(C38="FTE",B38*1880,B38)</f>
        <v/>
      </c>
      <c r="K38">
        <f>E38*(1+F38)*(1+G38)*(1+H38)*(1+I38)</f>
        <v/>
      </c>
      <c r="R38">
        <f>IF(L38="Y",J38*K38*Escalation!$B$2,0)</f>
        <v/>
      </c>
      <c r="S38">
        <f>IF(M38="Y",J38*K38*Escalation!$B$3,0)</f>
        <v/>
      </c>
      <c r="T38">
        <f>IF(N38="Y",J38*K38*Escalation!$B$4,0)</f>
        <v/>
      </c>
      <c r="U38">
        <f>IF(O38="Y",J38*K38*Escalation!$B$5,0)</f>
        <v/>
      </c>
      <c r="V38">
        <f>IF(P38="Y",J38*K38*Escalation!$B$6,0)</f>
        <v/>
      </c>
      <c r="W38">
        <f>IF(Q38="Y",J38*K38*Escalation!$B$7,0)</f>
        <v/>
      </c>
      <c r="X38">
        <f>SUM(R38:W38)</f>
        <v/>
      </c>
    </row>
    <row r="39">
      <c r="J39">
        <f>IF(C39="FTE",B39*1880,B39)</f>
        <v/>
      </c>
      <c r="K39">
        <f>E39*(1+F39)*(1+G39)*(1+H39)*(1+I39)</f>
        <v/>
      </c>
      <c r="R39">
        <f>IF(L39="Y",J39*K39*Escalation!$B$2,0)</f>
        <v/>
      </c>
      <c r="S39">
        <f>IF(M39="Y",J39*K39*Escalation!$B$3,0)</f>
        <v/>
      </c>
      <c r="T39">
        <f>IF(N39="Y",J39*K39*Escalation!$B$4,0)</f>
        <v/>
      </c>
      <c r="U39">
        <f>IF(O39="Y",J39*K39*Escalation!$B$5,0)</f>
        <v/>
      </c>
      <c r="V39">
        <f>IF(P39="Y",J39*K39*Escalation!$B$6,0)</f>
        <v/>
      </c>
      <c r="W39">
        <f>IF(Q39="Y",J39*K39*Escalation!$B$7,0)</f>
        <v/>
      </c>
      <c r="X39">
        <f>SUM(R39:W39)</f>
        <v/>
      </c>
    </row>
    <row r="40">
      <c r="J40">
        <f>IF(C40="FTE",B40*1880,B40)</f>
        <v/>
      </c>
      <c r="K40">
        <f>E40*(1+F40)*(1+G40)*(1+H40)*(1+I40)</f>
        <v/>
      </c>
      <c r="R40">
        <f>IF(L40="Y",J40*K40*Escalation!$B$2,0)</f>
        <v/>
      </c>
      <c r="S40">
        <f>IF(M40="Y",J40*K40*Escalation!$B$3,0)</f>
        <v/>
      </c>
      <c r="T40">
        <f>IF(N40="Y",J40*K40*Escalation!$B$4,0)</f>
        <v/>
      </c>
      <c r="U40">
        <f>IF(O40="Y",J40*K40*Escalation!$B$5,0)</f>
        <v/>
      </c>
      <c r="V40">
        <f>IF(P40="Y",J40*K40*Escalation!$B$6,0)</f>
        <v/>
      </c>
      <c r="W40">
        <f>IF(Q40="Y",J40*K40*Escalation!$B$7,0)</f>
        <v/>
      </c>
      <c r="X40">
        <f>SUM(R40:W40)</f>
        <v/>
      </c>
    </row>
    <row r="41">
      <c r="J41">
        <f>IF(C41="FTE",B41*1880,B41)</f>
        <v/>
      </c>
      <c r="K41">
        <f>E41*(1+F41)*(1+G41)*(1+H41)*(1+I41)</f>
        <v/>
      </c>
      <c r="R41">
        <f>IF(L41="Y",J41*K41*Escalation!$B$2,0)</f>
        <v/>
      </c>
      <c r="S41">
        <f>IF(M41="Y",J41*K41*Escalation!$B$3,0)</f>
        <v/>
      </c>
      <c r="T41">
        <f>IF(N41="Y",J41*K41*Escalation!$B$4,0)</f>
        <v/>
      </c>
      <c r="U41">
        <f>IF(O41="Y",J41*K41*Escalation!$B$5,0)</f>
        <v/>
      </c>
      <c r="V41">
        <f>IF(P41="Y",J41*K41*Escalation!$B$6,0)</f>
        <v/>
      </c>
      <c r="W41">
        <f>IF(Q41="Y",J41*K41*Escalation!$B$7,0)</f>
        <v/>
      </c>
      <c r="X41">
        <f>SUM(R41:W41)</f>
        <v/>
      </c>
    </row>
    <row r="42">
      <c r="J42">
        <f>IF(C42="FTE",B42*1880,B42)</f>
        <v/>
      </c>
      <c r="K42">
        <f>E42*(1+F42)*(1+G42)*(1+H42)*(1+I42)</f>
        <v/>
      </c>
      <c r="R42">
        <f>IF(L42="Y",J42*K42*Escalation!$B$2,0)</f>
        <v/>
      </c>
      <c r="S42">
        <f>IF(M42="Y",J42*K42*Escalation!$B$3,0)</f>
        <v/>
      </c>
      <c r="T42">
        <f>IF(N42="Y",J42*K42*Escalation!$B$4,0)</f>
        <v/>
      </c>
      <c r="U42">
        <f>IF(O42="Y",J42*K42*Escalation!$B$5,0)</f>
        <v/>
      </c>
      <c r="V42">
        <f>IF(P42="Y",J42*K42*Escalation!$B$6,0)</f>
        <v/>
      </c>
      <c r="W42">
        <f>IF(Q42="Y",J42*K42*Escalation!$B$7,0)</f>
        <v/>
      </c>
      <c r="X42">
        <f>SUM(R42:W42)</f>
        <v/>
      </c>
    </row>
    <row r="43">
      <c r="J43">
        <f>IF(C43="FTE",B43*1880,B43)</f>
        <v/>
      </c>
      <c r="K43">
        <f>E43*(1+F43)*(1+G43)*(1+H43)*(1+I43)</f>
        <v/>
      </c>
      <c r="R43">
        <f>IF(L43="Y",J43*K43*Escalation!$B$2,0)</f>
        <v/>
      </c>
      <c r="S43">
        <f>IF(M43="Y",J43*K43*Escalation!$B$3,0)</f>
        <v/>
      </c>
      <c r="T43">
        <f>IF(N43="Y",J43*K43*Escalation!$B$4,0)</f>
        <v/>
      </c>
      <c r="U43">
        <f>IF(O43="Y",J43*K43*Escalation!$B$5,0)</f>
        <v/>
      </c>
      <c r="V43">
        <f>IF(P43="Y",J43*K43*Escalation!$B$6,0)</f>
        <v/>
      </c>
      <c r="W43">
        <f>IF(Q43="Y",J43*K43*Escalation!$B$7,0)</f>
        <v/>
      </c>
      <c r="X43">
        <f>SUM(R43:W43)</f>
        <v/>
      </c>
    </row>
    <row r="44">
      <c r="J44">
        <f>IF(C44="FTE",B44*1880,B44)</f>
        <v/>
      </c>
      <c r="K44">
        <f>E44*(1+F44)*(1+G44)*(1+H44)*(1+I44)</f>
        <v/>
      </c>
      <c r="R44">
        <f>IF(L44="Y",J44*K44*Escalation!$B$2,0)</f>
        <v/>
      </c>
      <c r="S44">
        <f>IF(M44="Y",J44*K44*Escalation!$B$3,0)</f>
        <v/>
      </c>
      <c r="T44">
        <f>IF(N44="Y",J44*K44*Escalation!$B$4,0)</f>
        <v/>
      </c>
      <c r="U44">
        <f>IF(O44="Y",J44*K44*Escalation!$B$5,0)</f>
        <v/>
      </c>
      <c r="V44">
        <f>IF(P44="Y",J44*K44*Escalation!$B$6,0)</f>
        <v/>
      </c>
      <c r="W44">
        <f>IF(Q44="Y",J44*K44*Escalation!$B$7,0)</f>
        <v/>
      </c>
      <c r="X44">
        <f>SUM(R44:W44)</f>
        <v/>
      </c>
    </row>
    <row r="45">
      <c r="J45">
        <f>IF(C45="FTE",B45*1880,B45)</f>
        <v/>
      </c>
      <c r="K45">
        <f>E45*(1+F45)*(1+G45)*(1+H45)*(1+I45)</f>
        <v/>
      </c>
      <c r="R45">
        <f>IF(L45="Y",J45*K45*Escalation!$B$2,0)</f>
        <v/>
      </c>
      <c r="S45">
        <f>IF(M45="Y",J45*K45*Escalation!$B$3,0)</f>
        <v/>
      </c>
      <c r="T45">
        <f>IF(N45="Y",J45*K45*Escalation!$B$4,0)</f>
        <v/>
      </c>
      <c r="U45">
        <f>IF(O45="Y",J45*K45*Escalation!$B$5,0)</f>
        <v/>
      </c>
      <c r="V45">
        <f>IF(P45="Y",J45*K45*Escalation!$B$6,0)</f>
        <v/>
      </c>
      <c r="W45">
        <f>IF(Q45="Y",J45*K45*Escalation!$B$7,0)</f>
        <v/>
      </c>
      <c r="X45">
        <f>SUM(R45:W45)</f>
        <v/>
      </c>
    </row>
    <row r="46">
      <c r="J46">
        <f>IF(C46="FTE",B46*1880,B46)</f>
        <v/>
      </c>
      <c r="K46">
        <f>E46*(1+F46)*(1+G46)*(1+H46)*(1+I46)</f>
        <v/>
      </c>
      <c r="R46">
        <f>IF(L46="Y",J46*K46*Escalation!$B$2,0)</f>
        <v/>
      </c>
      <c r="S46">
        <f>IF(M46="Y",J46*K46*Escalation!$B$3,0)</f>
        <v/>
      </c>
      <c r="T46">
        <f>IF(N46="Y",J46*K46*Escalation!$B$4,0)</f>
        <v/>
      </c>
      <c r="U46">
        <f>IF(O46="Y",J46*K46*Escalation!$B$5,0)</f>
        <v/>
      </c>
      <c r="V46">
        <f>IF(P46="Y",J46*K46*Escalation!$B$6,0)</f>
        <v/>
      </c>
      <c r="W46">
        <f>IF(Q46="Y",J46*K46*Escalation!$B$7,0)</f>
        <v/>
      </c>
      <c r="X46">
        <f>SUM(R46:W46)</f>
        <v/>
      </c>
    </row>
    <row r="47">
      <c r="J47">
        <f>IF(C47="FTE",B47*1880,B47)</f>
        <v/>
      </c>
      <c r="K47">
        <f>E47*(1+F47)*(1+G47)*(1+H47)*(1+I47)</f>
        <v/>
      </c>
      <c r="R47">
        <f>IF(L47="Y",J47*K47*Escalation!$B$2,0)</f>
        <v/>
      </c>
      <c r="S47">
        <f>IF(M47="Y",J47*K47*Escalation!$B$3,0)</f>
        <v/>
      </c>
      <c r="T47">
        <f>IF(N47="Y",J47*K47*Escalation!$B$4,0)</f>
        <v/>
      </c>
      <c r="U47">
        <f>IF(O47="Y",J47*K47*Escalation!$B$5,0)</f>
        <v/>
      </c>
      <c r="V47">
        <f>IF(P47="Y",J47*K47*Escalation!$B$6,0)</f>
        <v/>
      </c>
      <c r="W47">
        <f>IF(Q47="Y",J47*K47*Escalation!$B$7,0)</f>
        <v/>
      </c>
      <c r="X47">
        <f>SUM(R47:W47)</f>
        <v/>
      </c>
    </row>
    <row r="48">
      <c r="J48">
        <f>IF(C48="FTE",B48*1880,B48)</f>
        <v/>
      </c>
      <c r="K48">
        <f>E48*(1+F48)*(1+G48)*(1+H48)*(1+I48)</f>
        <v/>
      </c>
      <c r="R48">
        <f>IF(L48="Y",J48*K48*Escalation!$B$2,0)</f>
        <v/>
      </c>
      <c r="S48">
        <f>IF(M48="Y",J48*K48*Escalation!$B$3,0)</f>
        <v/>
      </c>
      <c r="T48">
        <f>IF(N48="Y",J48*K48*Escalation!$B$4,0)</f>
        <v/>
      </c>
      <c r="U48">
        <f>IF(O48="Y",J48*K48*Escalation!$B$5,0)</f>
        <v/>
      </c>
      <c r="V48">
        <f>IF(P48="Y",J48*K48*Escalation!$B$6,0)</f>
        <v/>
      </c>
      <c r="W48">
        <f>IF(Q48="Y",J48*K48*Escalation!$B$7,0)</f>
        <v/>
      </c>
      <c r="X48">
        <f>SUM(R48:W48)</f>
        <v/>
      </c>
    </row>
    <row r="49">
      <c r="J49">
        <f>IF(C49="FTE",B49*1880,B49)</f>
        <v/>
      </c>
      <c r="K49">
        <f>E49*(1+F49)*(1+G49)*(1+H49)*(1+I49)</f>
        <v/>
      </c>
      <c r="R49">
        <f>IF(L49="Y",J49*K49*Escalation!$B$2,0)</f>
        <v/>
      </c>
      <c r="S49">
        <f>IF(M49="Y",J49*K49*Escalation!$B$3,0)</f>
        <v/>
      </c>
      <c r="T49">
        <f>IF(N49="Y",J49*K49*Escalation!$B$4,0)</f>
        <v/>
      </c>
      <c r="U49">
        <f>IF(O49="Y",J49*K49*Escalation!$B$5,0)</f>
        <v/>
      </c>
      <c r="V49">
        <f>IF(P49="Y",J49*K49*Escalation!$B$6,0)</f>
        <v/>
      </c>
      <c r="W49">
        <f>IF(Q49="Y",J49*K49*Escalation!$B$7,0)</f>
        <v/>
      </c>
      <c r="X49">
        <f>SUM(R49:W49)</f>
        <v/>
      </c>
    </row>
    <row r="50">
      <c r="J50">
        <f>IF(C50="FTE",B50*1880,B50)</f>
        <v/>
      </c>
      <c r="K50">
        <f>E50*(1+F50)*(1+G50)*(1+H50)*(1+I50)</f>
        <v/>
      </c>
      <c r="R50">
        <f>IF(L50="Y",J50*K50*Escalation!$B$2,0)</f>
        <v/>
      </c>
      <c r="S50">
        <f>IF(M50="Y",J50*K50*Escalation!$B$3,0)</f>
        <v/>
      </c>
      <c r="T50">
        <f>IF(N50="Y",J50*K50*Escalation!$B$4,0)</f>
        <v/>
      </c>
      <c r="U50">
        <f>IF(O50="Y",J50*K50*Escalation!$B$5,0)</f>
        <v/>
      </c>
      <c r="V50">
        <f>IF(P50="Y",J50*K50*Escalation!$B$6,0)</f>
        <v/>
      </c>
      <c r="W50">
        <f>IF(Q50="Y",J50*K50*Escalation!$B$7,0)</f>
        <v/>
      </c>
      <c r="X50">
        <f>SUM(R50:W50)</f>
        <v/>
      </c>
    </row>
    <row r="51">
      <c r="J51">
        <f>IF(C51="FTE",B51*1880,B51)</f>
        <v/>
      </c>
      <c r="K51">
        <f>E51*(1+F51)*(1+G51)*(1+H51)*(1+I51)</f>
        <v/>
      </c>
      <c r="R51">
        <f>IF(L51="Y",J51*K51*Escalation!$B$2,0)</f>
        <v/>
      </c>
      <c r="S51">
        <f>IF(M51="Y",J51*K51*Escalation!$B$3,0)</f>
        <v/>
      </c>
      <c r="T51">
        <f>IF(N51="Y",J51*K51*Escalation!$B$4,0)</f>
        <v/>
      </c>
      <c r="U51">
        <f>IF(O51="Y",J51*K51*Escalation!$B$5,0)</f>
        <v/>
      </c>
      <c r="V51">
        <f>IF(P51="Y",J51*K51*Escalation!$B$6,0)</f>
        <v/>
      </c>
      <c r="W51">
        <f>IF(Q51="Y",J51*K51*Escalation!$B$7,0)</f>
        <v/>
      </c>
      <c r="X51">
        <f>SUM(R51:W51)</f>
        <v/>
      </c>
    </row>
    <row r="52">
      <c r="J52">
        <f>IF(C52="FTE",B52*1880,B52)</f>
        <v/>
      </c>
      <c r="K52">
        <f>E52*(1+F52)*(1+G52)*(1+H52)*(1+I52)</f>
        <v/>
      </c>
      <c r="R52">
        <f>IF(L52="Y",J52*K52*Escalation!$B$2,0)</f>
        <v/>
      </c>
      <c r="S52">
        <f>IF(M52="Y",J52*K52*Escalation!$B$3,0)</f>
        <v/>
      </c>
      <c r="T52">
        <f>IF(N52="Y",J52*K52*Escalation!$B$4,0)</f>
        <v/>
      </c>
      <c r="U52">
        <f>IF(O52="Y",J52*K52*Escalation!$B$5,0)</f>
        <v/>
      </c>
      <c r="V52">
        <f>IF(P52="Y",J52*K52*Escalation!$B$6,0)</f>
        <v/>
      </c>
      <c r="W52">
        <f>IF(Q52="Y",J52*K52*Escalation!$B$7,0)</f>
        <v/>
      </c>
      <c r="X52">
        <f>SUM(R52:W52)</f>
        <v/>
      </c>
    </row>
    <row r="53">
      <c r="J53">
        <f>IF(C53="FTE",B53*1880,B53)</f>
        <v/>
      </c>
      <c r="K53">
        <f>E53*(1+F53)*(1+G53)*(1+H53)*(1+I53)</f>
        <v/>
      </c>
      <c r="R53">
        <f>IF(L53="Y",J53*K53*Escalation!$B$2,0)</f>
        <v/>
      </c>
      <c r="S53">
        <f>IF(M53="Y",J53*K53*Escalation!$B$3,0)</f>
        <v/>
      </c>
      <c r="T53">
        <f>IF(N53="Y",J53*K53*Escalation!$B$4,0)</f>
        <v/>
      </c>
      <c r="U53">
        <f>IF(O53="Y",J53*K53*Escalation!$B$5,0)</f>
        <v/>
      </c>
      <c r="V53">
        <f>IF(P53="Y",J53*K53*Escalation!$B$6,0)</f>
        <v/>
      </c>
      <c r="W53">
        <f>IF(Q53="Y",J53*K53*Escalation!$B$7,0)</f>
        <v/>
      </c>
      <c r="X53">
        <f>SUM(R53:W53)</f>
        <v/>
      </c>
    </row>
    <row r="54">
      <c r="J54">
        <f>IF(C54="FTE",B54*1880,B54)</f>
        <v/>
      </c>
      <c r="K54">
        <f>E54*(1+F54)*(1+G54)*(1+H54)*(1+I54)</f>
        <v/>
      </c>
      <c r="R54">
        <f>IF(L54="Y",J54*K54*Escalation!$B$2,0)</f>
        <v/>
      </c>
      <c r="S54">
        <f>IF(M54="Y",J54*K54*Escalation!$B$3,0)</f>
        <v/>
      </c>
      <c r="T54">
        <f>IF(N54="Y",J54*K54*Escalation!$B$4,0)</f>
        <v/>
      </c>
      <c r="U54">
        <f>IF(O54="Y",J54*K54*Escalation!$B$5,0)</f>
        <v/>
      </c>
      <c r="V54">
        <f>IF(P54="Y",J54*K54*Escalation!$B$6,0)</f>
        <v/>
      </c>
      <c r="W54">
        <f>IF(Q54="Y",J54*K54*Escalation!$B$7,0)</f>
        <v/>
      </c>
      <c r="X54">
        <f>SUM(R54:W54)</f>
        <v/>
      </c>
    </row>
    <row r="55">
      <c r="J55">
        <f>IF(C55="FTE",B55*1880,B55)</f>
        <v/>
      </c>
      <c r="K55">
        <f>E55*(1+F55)*(1+G55)*(1+H55)*(1+I55)</f>
        <v/>
      </c>
      <c r="R55">
        <f>IF(L55="Y",J55*K55*Escalation!$B$2,0)</f>
        <v/>
      </c>
      <c r="S55">
        <f>IF(M55="Y",J55*K55*Escalation!$B$3,0)</f>
        <v/>
      </c>
      <c r="T55">
        <f>IF(N55="Y",J55*K55*Escalation!$B$4,0)</f>
        <v/>
      </c>
      <c r="U55">
        <f>IF(O55="Y",J55*K55*Escalation!$B$5,0)</f>
        <v/>
      </c>
      <c r="V55">
        <f>IF(P55="Y",J55*K55*Escalation!$B$6,0)</f>
        <v/>
      </c>
      <c r="W55">
        <f>IF(Q55="Y",J55*K55*Escalation!$B$7,0)</f>
        <v/>
      </c>
      <c r="X55">
        <f>SUM(R55:W55)</f>
        <v/>
      </c>
    </row>
    <row r="56">
      <c r="J56">
        <f>IF(C56="FTE",B56*1880,B56)</f>
        <v/>
      </c>
      <c r="K56">
        <f>E56*(1+F56)*(1+G56)*(1+H56)*(1+I56)</f>
        <v/>
      </c>
      <c r="R56">
        <f>IF(L56="Y",J56*K56*Escalation!$B$2,0)</f>
        <v/>
      </c>
      <c r="S56">
        <f>IF(M56="Y",J56*K56*Escalation!$B$3,0)</f>
        <v/>
      </c>
      <c r="T56">
        <f>IF(N56="Y",J56*K56*Escalation!$B$4,0)</f>
        <v/>
      </c>
      <c r="U56">
        <f>IF(O56="Y",J56*K56*Escalation!$B$5,0)</f>
        <v/>
      </c>
      <c r="V56">
        <f>IF(P56="Y",J56*K56*Escalation!$B$6,0)</f>
        <v/>
      </c>
      <c r="W56">
        <f>IF(Q56="Y",J56*K56*Escalation!$B$7,0)</f>
        <v/>
      </c>
      <c r="X56">
        <f>SUM(R56:W56)</f>
        <v/>
      </c>
    </row>
    <row r="57">
      <c r="J57">
        <f>IF(C57="FTE",B57*1880,B57)</f>
        <v/>
      </c>
      <c r="K57">
        <f>E57*(1+F57)*(1+G57)*(1+H57)*(1+I57)</f>
        <v/>
      </c>
      <c r="R57">
        <f>IF(L57="Y",J57*K57*Escalation!$B$2,0)</f>
        <v/>
      </c>
      <c r="S57">
        <f>IF(M57="Y",J57*K57*Escalation!$B$3,0)</f>
        <v/>
      </c>
      <c r="T57">
        <f>IF(N57="Y",J57*K57*Escalation!$B$4,0)</f>
        <v/>
      </c>
      <c r="U57">
        <f>IF(O57="Y",J57*K57*Escalation!$B$5,0)</f>
        <v/>
      </c>
      <c r="V57">
        <f>IF(P57="Y",J57*K57*Escalation!$B$6,0)</f>
        <v/>
      </c>
      <c r="W57">
        <f>IF(Q57="Y",J57*K57*Escalation!$B$7,0)</f>
        <v/>
      </c>
      <c r="X57">
        <f>SUM(R57:W57)</f>
        <v/>
      </c>
    </row>
    <row r="58">
      <c r="J58">
        <f>IF(C58="FTE",B58*1880,B58)</f>
        <v/>
      </c>
      <c r="K58">
        <f>E58*(1+F58)*(1+G58)*(1+H58)*(1+I58)</f>
        <v/>
      </c>
      <c r="R58">
        <f>IF(L58="Y",J58*K58*Escalation!$B$2,0)</f>
        <v/>
      </c>
      <c r="S58">
        <f>IF(M58="Y",J58*K58*Escalation!$B$3,0)</f>
        <v/>
      </c>
      <c r="T58">
        <f>IF(N58="Y",J58*K58*Escalation!$B$4,0)</f>
        <v/>
      </c>
      <c r="U58">
        <f>IF(O58="Y",J58*K58*Escalation!$B$5,0)</f>
        <v/>
      </c>
      <c r="V58">
        <f>IF(P58="Y",J58*K58*Escalation!$B$6,0)</f>
        <v/>
      </c>
      <c r="W58">
        <f>IF(Q58="Y",J58*K58*Escalation!$B$7,0)</f>
        <v/>
      </c>
      <c r="X58">
        <f>SUM(R58:W58)</f>
        <v/>
      </c>
    </row>
    <row r="59">
      <c r="J59">
        <f>IF(C59="FTE",B59*1880,B59)</f>
        <v/>
      </c>
      <c r="K59">
        <f>E59*(1+F59)*(1+G59)*(1+H59)*(1+I59)</f>
        <v/>
      </c>
      <c r="R59">
        <f>IF(L59="Y",J59*K59*Escalation!$B$2,0)</f>
        <v/>
      </c>
      <c r="S59">
        <f>IF(M59="Y",J59*K59*Escalation!$B$3,0)</f>
        <v/>
      </c>
      <c r="T59">
        <f>IF(N59="Y",J59*K59*Escalation!$B$4,0)</f>
        <v/>
      </c>
      <c r="U59">
        <f>IF(O59="Y",J59*K59*Escalation!$B$5,0)</f>
        <v/>
      </c>
      <c r="V59">
        <f>IF(P59="Y",J59*K59*Escalation!$B$6,0)</f>
        <v/>
      </c>
      <c r="W59">
        <f>IF(Q59="Y",J59*K59*Escalation!$B$7,0)</f>
        <v/>
      </c>
      <c r="X59">
        <f>SUM(R59:W59)</f>
        <v/>
      </c>
    </row>
    <row r="60">
      <c r="J60">
        <f>IF(C60="FTE",B60*1880,B60)</f>
        <v/>
      </c>
      <c r="K60">
        <f>E60*(1+F60)*(1+G60)*(1+H60)*(1+I60)</f>
        <v/>
      </c>
      <c r="R60">
        <f>IF(L60="Y",J60*K60*Escalation!$B$2,0)</f>
        <v/>
      </c>
      <c r="S60">
        <f>IF(M60="Y",J60*K60*Escalation!$B$3,0)</f>
        <v/>
      </c>
      <c r="T60">
        <f>IF(N60="Y",J60*K60*Escalation!$B$4,0)</f>
        <v/>
      </c>
      <c r="U60">
        <f>IF(O60="Y",J60*K60*Escalation!$B$5,0)</f>
        <v/>
      </c>
      <c r="V60">
        <f>IF(P60="Y",J60*K60*Escalation!$B$6,0)</f>
        <v/>
      </c>
      <c r="W60">
        <f>IF(Q60="Y",J60*K60*Escalation!$B$7,0)</f>
        <v/>
      </c>
      <c r="X60">
        <f>SUM(R60:W60)</f>
        <v/>
      </c>
    </row>
    <row r="61">
      <c r="J61">
        <f>IF(C61="FTE",B61*1880,B61)</f>
        <v/>
      </c>
      <c r="K61">
        <f>E61*(1+F61)*(1+G61)*(1+H61)*(1+I61)</f>
        <v/>
      </c>
      <c r="R61">
        <f>IF(L61="Y",J61*K61*Escalation!$B$2,0)</f>
        <v/>
      </c>
      <c r="S61">
        <f>IF(M61="Y",J61*K61*Escalation!$B$3,0)</f>
        <v/>
      </c>
      <c r="T61">
        <f>IF(N61="Y",J61*K61*Escalation!$B$4,0)</f>
        <v/>
      </c>
      <c r="U61">
        <f>IF(O61="Y",J61*K61*Escalation!$B$5,0)</f>
        <v/>
      </c>
      <c r="V61">
        <f>IF(P61="Y",J61*K61*Escalation!$B$6,0)</f>
        <v/>
      </c>
      <c r="W61">
        <f>IF(Q61="Y",J61*K61*Escalation!$B$7,0)</f>
        <v/>
      </c>
      <c r="X61">
        <f>SUM(R61:W61)</f>
        <v/>
      </c>
    </row>
    <row r="62">
      <c r="J62">
        <f>IF(C62="FTE",B62*1880,B62)</f>
        <v/>
      </c>
      <c r="K62">
        <f>E62*(1+F62)*(1+G62)*(1+H62)*(1+I62)</f>
        <v/>
      </c>
      <c r="R62">
        <f>IF(L62="Y",J62*K62*Escalation!$B$2,0)</f>
        <v/>
      </c>
      <c r="S62">
        <f>IF(M62="Y",J62*K62*Escalation!$B$3,0)</f>
        <v/>
      </c>
      <c r="T62">
        <f>IF(N62="Y",J62*K62*Escalation!$B$4,0)</f>
        <v/>
      </c>
      <c r="U62">
        <f>IF(O62="Y",J62*K62*Escalation!$B$5,0)</f>
        <v/>
      </c>
      <c r="V62">
        <f>IF(P62="Y",J62*K62*Escalation!$B$6,0)</f>
        <v/>
      </c>
      <c r="W62">
        <f>IF(Q62="Y",J62*K62*Escalation!$B$7,0)</f>
        <v/>
      </c>
      <c r="X62">
        <f>SUM(R62:W62)</f>
        <v/>
      </c>
    </row>
    <row r="63">
      <c r="J63">
        <f>IF(C63="FTE",B63*1880,B63)</f>
        <v/>
      </c>
      <c r="K63">
        <f>E63*(1+F63)*(1+G63)*(1+H63)*(1+I63)</f>
        <v/>
      </c>
      <c r="R63">
        <f>IF(L63="Y",J63*K63*Escalation!$B$2,0)</f>
        <v/>
      </c>
      <c r="S63">
        <f>IF(M63="Y",J63*K63*Escalation!$B$3,0)</f>
        <v/>
      </c>
      <c r="T63">
        <f>IF(N63="Y",J63*K63*Escalation!$B$4,0)</f>
        <v/>
      </c>
      <c r="U63">
        <f>IF(O63="Y",J63*K63*Escalation!$B$5,0)</f>
        <v/>
      </c>
      <c r="V63">
        <f>IF(P63="Y",J63*K63*Escalation!$B$6,0)</f>
        <v/>
      </c>
      <c r="W63">
        <f>IF(Q63="Y",J63*K63*Escalation!$B$7,0)</f>
        <v/>
      </c>
      <c r="X63">
        <f>SUM(R63:W63)</f>
        <v/>
      </c>
    </row>
    <row r="64">
      <c r="J64">
        <f>IF(C64="FTE",B64*1880,B64)</f>
        <v/>
      </c>
      <c r="K64">
        <f>E64*(1+F64)*(1+G64)*(1+H64)*(1+I64)</f>
        <v/>
      </c>
      <c r="R64">
        <f>IF(L64="Y",J64*K64*Escalation!$B$2,0)</f>
        <v/>
      </c>
      <c r="S64">
        <f>IF(M64="Y",J64*K64*Escalation!$B$3,0)</f>
        <v/>
      </c>
      <c r="T64">
        <f>IF(N64="Y",J64*K64*Escalation!$B$4,0)</f>
        <v/>
      </c>
      <c r="U64">
        <f>IF(O64="Y",J64*K64*Escalation!$B$5,0)</f>
        <v/>
      </c>
      <c r="V64">
        <f>IF(P64="Y",J64*K64*Escalation!$B$6,0)</f>
        <v/>
      </c>
      <c r="W64">
        <f>IF(Q64="Y",J64*K64*Escalation!$B$7,0)</f>
        <v/>
      </c>
      <c r="X64">
        <f>SUM(R64:W64)</f>
        <v/>
      </c>
    </row>
    <row r="65">
      <c r="J65">
        <f>IF(C65="FTE",B65*1880,B65)</f>
        <v/>
      </c>
      <c r="K65">
        <f>E65*(1+F65)*(1+G65)*(1+H65)*(1+I65)</f>
        <v/>
      </c>
      <c r="R65">
        <f>IF(L65="Y",J65*K65*Escalation!$B$2,0)</f>
        <v/>
      </c>
      <c r="S65">
        <f>IF(M65="Y",J65*K65*Escalation!$B$3,0)</f>
        <v/>
      </c>
      <c r="T65">
        <f>IF(N65="Y",J65*K65*Escalation!$B$4,0)</f>
        <v/>
      </c>
      <c r="U65">
        <f>IF(O65="Y",J65*K65*Escalation!$B$5,0)</f>
        <v/>
      </c>
      <c r="V65">
        <f>IF(P65="Y",J65*K65*Escalation!$B$6,0)</f>
        <v/>
      </c>
      <c r="W65">
        <f>IF(Q65="Y",J65*K65*Escalation!$B$7,0)</f>
        <v/>
      </c>
      <c r="X65">
        <f>SUM(R65:W65)</f>
        <v/>
      </c>
    </row>
    <row r="66">
      <c r="J66">
        <f>IF(C66="FTE",B66*1880,B66)</f>
        <v/>
      </c>
      <c r="K66">
        <f>E66*(1+F66)*(1+G66)*(1+H66)*(1+I66)</f>
        <v/>
      </c>
      <c r="R66">
        <f>IF(L66="Y",J66*K66*Escalation!$B$2,0)</f>
        <v/>
      </c>
      <c r="S66">
        <f>IF(M66="Y",J66*K66*Escalation!$B$3,0)</f>
        <v/>
      </c>
      <c r="T66">
        <f>IF(N66="Y",J66*K66*Escalation!$B$4,0)</f>
        <v/>
      </c>
      <c r="U66">
        <f>IF(O66="Y",J66*K66*Escalation!$B$5,0)</f>
        <v/>
      </c>
      <c r="V66">
        <f>IF(P66="Y",J66*K66*Escalation!$B$6,0)</f>
        <v/>
      </c>
      <c r="W66">
        <f>IF(Q66="Y",J66*K66*Escalation!$B$7,0)</f>
        <v/>
      </c>
      <c r="X66">
        <f>SUM(R66:W66)</f>
        <v/>
      </c>
    </row>
    <row r="67">
      <c r="J67">
        <f>IF(C67="FTE",B67*1880,B67)</f>
        <v/>
      </c>
      <c r="K67">
        <f>E67*(1+F67)*(1+G67)*(1+H67)*(1+I67)</f>
        <v/>
      </c>
      <c r="R67">
        <f>IF(L67="Y",J67*K67*Escalation!$B$2,0)</f>
        <v/>
      </c>
      <c r="S67">
        <f>IF(M67="Y",J67*K67*Escalation!$B$3,0)</f>
        <v/>
      </c>
      <c r="T67">
        <f>IF(N67="Y",J67*K67*Escalation!$B$4,0)</f>
        <v/>
      </c>
      <c r="U67">
        <f>IF(O67="Y",J67*K67*Escalation!$B$5,0)</f>
        <v/>
      </c>
      <c r="V67">
        <f>IF(P67="Y",J67*K67*Escalation!$B$6,0)</f>
        <v/>
      </c>
      <c r="W67">
        <f>IF(Q67="Y",J67*K67*Escalation!$B$7,0)</f>
        <v/>
      </c>
      <c r="X67">
        <f>SUM(R67:W67)</f>
        <v/>
      </c>
    </row>
    <row r="68">
      <c r="J68">
        <f>IF(C68="FTE",B68*1880,B68)</f>
        <v/>
      </c>
      <c r="K68">
        <f>E68*(1+F68)*(1+G68)*(1+H68)*(1+I68)</f>
        <v/>
      </c>
      <c r="R68">
        <f>IF(L68="Y",J68*K68*Escalation!$B$2,0)</f>
        <v/>
      </c>
      <c r="S68">
        <f>IF(M68="Y",J68*K68*Escalation!$B$3,0)</f>
        <v/>
      </c>
      <c r="T68">
        <f>IF(N68="Y",J68*K68*Escalation!$B$4,0)</f>
        <v/>
      </c>
      <c r="U68">
        <f>IF(O68="Y",J68*K68*Escalation!$B$5,0)</f>
        <v/>
      </c>
      <c r="V68">
        <f>IF(P68="Y",J68*K68*Escalation!$B$6,0)</f>
        <v/>
      </c>
      <c r="W68">
        <f>IF(Q68="Y",J68*K68*Escalation!$B$7,0)</f>
        <v/>
      </c>
      <c r="X68">
        <f>SUM(R68:W68)</f>
        <v/>
      </c>
    </row>
    <row r="69">
      <c r="J69">
        <f>IF(C69="FTE",B69*1880,B69)</f>
        <v/>
      </c>
      <c r="K69">
        <f>E69*(1+F69)*(1+G69)*(1+H69)*(1+I69)</f>
        <v/>
      </c>
      <c r="R69">
        <f>IF(L69="Y",J69*K69*Escalation!$B$2,0)</f>
        <v/>
      </c>
      <c r="S69">
        <f>IF(M69="Y",J69*K69*Escalation!$B$3,0)</f>
        <v/>
      </c>
      <c r="T69">
        <f>IF(N69="Y",J69*K69*Escalation!$B$4,0)</f>
        <v/>
      </c>
      <c r="U69">
        <f>IF(O69="Y",J69*K69*Escalation!$B$5,0)</f>
        <v/>
      </c>
      <c r="V69">
        <f>IF(P69="Y",J69*K69*Escalation!$B$6,0)</f>
        <v/>
      </c>
      <c r="W69">
        <f>IF(Q69="Y",J69*K69*Escalation!$B$7,0)</f>
        <v/>
      </c>
      <c r="X69">
        <f>SUM(R69:W69)</f>
        <v/>
      </c>
    </row>
    <row r="70">
      <c r="J70">
        <f>IF(C70="FTE",B70*1880,B70)</f>
        <v/>
      </c>
      <c r="K70">
        <f>E70*(1+F70)*(1+G70)*(1+H70)*(1+I70)</f>
        <v/>
      </c>
      <c r="R70">
        <f>IF(L70="Y",J70*K70*Escalation!$B$2,0)</f>
        <v/>
      </c>
      <c r="S70">
        <f>IF(M70="Y",J70*K70*Escalation!$B$3,0)</f>
        <v/>
      </c>
      <c r="T70">
        <f>IF(N70="Y",J70*K70*Escalation!$B$4,0)</f>
        <v/>
      </c>
      <c r="U70">
        <f>IF(O70="Y",J70*K70*Escalation!$B$5,0)</f>
        <v/>
      </c>
      <c r="V70">
        <f>IF(P70="Y",J70*K70*Escalation!$B$6,0)</f>
        <v/>
      </c>
      <c r="W70">
        <f>IF(Q70="Y",J70*K70*Escalation!$B$7,0)</f>
        <v/>
      </c>
      <c r="X70">
        <f>SUM(R70:W70)</f>
        <v/>
      </c>
    </row>
    <row r="71">
      <c r="J71">
        <f>IF(C71="FTE",B71*1880,B71)</f>
        <v/>
      </c>
      <c r="K71">
        <f>E71*(1+F71)*(1+G71)*(1+H71)*(1+I71)</f>
        <v/>
      </c>
      <c r="R71">
        <f>IF(L71="Y",J71*K71*Escalation!$B$2,0)</f>
        <v/>
      </c>
      <c r="S71">
        <f>IF(M71="Y",J71*K71*Escalation!$B$3,0)</f>
        <v/>
      </c>
      <c r="T71">
        <f>IF(N71="Y",J71*K71*Escalation!$B$4,0)</f>
        <v/>
      </c>
      <c r="U71">
        <f>IF(O71="Y",J71*K71*Escalation!$B$5,0)</f>
        <v/>
      </c>
      <c r="V71">
        <f>IF(P71="Y",J71*K71*Escalation!$B$6,0)</f>
        <v/>
      </c>
      <c r="W71">
        <f>IF(Q71="Y",J71*K71*Escalation!$B$7,0)</f>
        <v/>
      </c>
      <c r="X71">
        <f>SUM(R71:W71)</f>
        <v/>
      </c>
    </row>
    <row r="72">
      <c r="J72">
        <f>IF(C72="FTE",B72*1880,B72)</f>
        <v/>
      </c>
      <c r="K72">
        <f>E72*(1+F72)*(1+G72)*(1+H72)*(1+I72)</f>
        <v/>
      </c>
      <c r="R72">
        <f>IF(L72="Y",J72*K72*Escalation!$B$2,0)</f>
        <v/>
      </c>
      <c r="S72">
        <f>IF(M72="Y",J72*K72*Escalation!$B$3,0)</f>
        <v/>
      </c>
      <c r="T72">
        <f>IF(N72="Y",J72*K72*Escalation!$B$4,0)</f>
        <v/>
      </c>
      <c r="U72">
        <f>IF(O72="Y",J72*K72*Escalation!$B$5,0)</f>
        <v/>
      </c>
      <c r="V72">
        <f>IF(P72="Y",J72*K72*Escalation!$B$6,0)</f>
        <v/>
      </c>
      <c r="W72">
        <f>IF(Q72="Y",J72*K72*Escalation!$B$7,0)</f>
        <v/>
      </c>
      <c r="X72">
        <f>SUM(R72:W72)</f>
        <v/>
      </c>
    </row>
    <row r="73">
      <c r="J73">
        <f>IF(C73="FTE",B73*1880,B73)</f>
        <v/>
      </c>
      <c r="K73">
        <f>E73*(1+F73)*(1+G73)*(1+H73)*(1+I73)</f>
        <v/>
      </c>
      <c r="R73">
        <f>IF(L73="Y",J73*K73*Escalation!$B$2,0)</f>
        <v/>
      </c>
      <c r="S73">
        <f>IF(M73="Y",J73*K73*Escalation!$B$3,0)</f>
        <v/>
      </c>
      <c r="T73">
        <f>IF(N73="Y",J73*K73*Escalation!$B$4,0)</f>
        <v/>
      </c>
      <c r="U73">
        <f>IF(O73="Y",J73*K73*Escalation!$B$5,0)</f>
        <v/>
      </c>
      <c r="V73">
        <f>IF(P73="Y",J73*K73*Escalation!$B$6,0)</f>
        <v/>
      </c>
      <c r="W73">
        <f>IF(Q73="Y",J73*K73*Escalation!$B$7,0)</f>
        <v/>
      </c>
      <c r="X73">
        <f>SUM(R73:W73)</f>
        <v/>
      </c>
    </row>
    <row r="74">
      <c r="J74">
        <f>IF(C74="FTE",B74*1880,B74)</f>
        <v/>
      </c>
      <c r="K74">
        <f>E74*(1+F74)*(1+G74)*(1+H74)*(1+I74)</f>
        <v/>
      </c>
      <c r="R74">
        <f>IF(L74="Y",J74*K74*Escalation!$B$2,0)</f>
        <v/>
      </c>
      <c r="S74">
        <f>IF(M74="Y",J74*K74*Escalation!$B$3,0)</f>
        <v/>
      </c>
      <c r="T74">
        <f>IF(N74="Y",J74*K74*Escalation!$B$4,0)</f>
        <v/>
      </c>
      <c r="U74">
        <f>IF(O74="Y",J74*K74*Escalation!$B$5,0)</f>
        <v/>
      </c>
      <c r="V74">
        <f>IF(P74="Y",J74*K74*Escalation!$B$6,0)</f>
        <v/>
      </c>
      <c r="W74">
        <f>IF(Q74="Y",J74*K74*Escalation!$B$7,0)</f>
        <v/>
      </c>
      <c r="X74">
        <f>SUM(R74:W74)</f>
        <v/>
      </c>
    </row>
    <row r="75">
      <c r="J75">
        <f>IF(C75="FTE",B75*1880,B75)</f>
        <v/>
      </c>
      <c r="K75">
        <f>E75*(1+F75)*(1+G75)*(1+H75)*(1+I75)</f>
        <v/>
      </c>
      <c r="R75">
        <f>IF(L75="Y",J75*K75*Escalation!$B$2,0)</f>
        <v/>
      </c>
      <c r="S75">
        <f>IF(M75="Y",J75*K75*Escalation!$B$3,0)</f>
        <v/>
      </c>
      <c r="T75">
        <f>IF(N75="Y",J75*K75*Escalation!$B$4,0)</f>
        <v/>
      </c>
      <c r="U75">
        <f>IF(O75="Y",J75*K75*Escalation!$B$5,0)</f>
        <v/>
      </c>
      <c r="V75">
        <f>IF(P75="Y",J75*K75*Escalation!$B$6,0)</f>
        <v/>
      </c>
      <c r="W75">
        <f>IF(Q75="Y",J75*K75*Escalation!$B$7,0)</f>
        <v/>
      </c>
      <c r="X75">
        <f>SUM(R75:W75)</f>
        <v/>
      </c>
    </row>
    <row r="76">
      <c r="J76">
        <f>IF(C76="FTE",B76*1880,B76)</f>
        <v/>
      </c>
      <c r="K76">
        <f>E76*(1+F76)*(1+G76)*(1+H76)*(1+I76)</f>
        <v/>
      </c>
      <c r="R76">
        <f>IF(L76="Y",J76*K76*Escalation!$B$2,0)</f>
        <v/>
      </c>
      <c r="S76">
        <f>IF(M76="Y",J76*K76*Escalation!$B$3,0)</f>
        <v/>
      </c>
      <c r="T76">
        <f>IF(N76="Y",J76*K76*Escalation!$B$4,0)</f>
        <v/>
      </c>
      <c r="U76">
        <f>IF(O76="Y",J76*K76*Escalation!$B$5,0)</f>
        <v/>
      </c>
      <c r="V76">
        <f>IF(P76="Y",J76*K76*Escalation!$B$6,0)</f>
        <v/>
      </c>
      <c r="W76">
        <f>IF(Q76="Y",J76*K76*Escalation!$B$7,0)</f>
        <v/>
      </c>
      <c r="X76">
        <f>SUM(R76:W76)</f>
        <v/>
      </c>
    </row>
    <row r="77">
      <c r="J77">
        <f>IF(C77="FTE",B77*1880,B77)</f>
        <v/>
      </c>
      <c r="K77">
        <f>E77*(1+F77)*(1+G77)*(1+H77)*(1+I77)</f>
        <v/>
      </c>
      <c r="R77">
        <f>IF(L77="Y",J77*K77*Escalation!$B$2,0)</f>
        <v/>
      </c>
      <c r="S77">
        <f>IF(M77="Y",J77*K77*Escalation!$B$3,0)</f>
        <v/>
      </c>
      <c r="T77">
        <f>IF(N77="Y",J77*K77*Escalation!$B$4,0)</f>
        <v/>
      </c>
      <c r="U77">
        <f>IF(O77="Y",J77*K77*Escalation!$B$5,0)</f>
        <v/>
      </c>
      <c r="V77">
        <f>IF(P77="Y",J77*K77*Escalation!$B$6,0)</f>
        <v/>
      </c>
      <c r="W77">
        <f>IF(Q77="Y",J77*K77*Escalation!$B$7,0)</f>
        <v/>
      </c>
      <c r="X77">
        <f>SUM(R77:W77)</f>
        <v/>
      </c>
    </row>
    <row r="78">
      <c r="J78">
        <f>IF(C78="FTE",B78*1880,B78)</f>
        <v/>
      </c>
      <c r="K78">
        <f>E78*(1+F78)*(1+G78)*(1+H78)*(1+I78)</f>
        <v/>
      </c>
      <c r="R78">
        <f>IF(L78="Y",J78*K78*Escalation!$B$2,0)</f>
        <v/>
      </c>
      <c r="S78">
        <f>IF(M78="Y",J78*K78*Escalation!$B$3,0)</f>
        <v/>
      </c>
      <c r="T78">
        <f>IF(N78="Y",J78*K78*Escalation!$B$4,0)</f>
        <v/>
      </c>
      <c r="U78">
        <f>IF(O78="Y",J78*K78*Escalation!$B$5,0)</f>
        <v/>
      </c>
      <c r="V78">
        <f>IF(P78="Y",J78*K78*Escalation!$B$6,0)</f>
        <v/>
      </c>
      <c r="W78">
        <f>IF(Q78="Y",J78*K78*Escalation!$B$7,0)</f>
        <v/>
      </c>
      <c r="X78">
        <f>SUM(R78:W78)</f>
        <v/>
      </c>
    </row>
    <row r="79">
      <c r="J79">
        <f>IF(C79="FTE",B79*1880,B79)</f>
        <v/>
      </c>
      <c r="K79">
        <f>E79*(1+F79)*(1+G79)*(1+H79)*(1+I79)</f>
        <v/>
      </c>
      <c r="R79">
        <f>IF(L79="Y",J79*K79*Escalation!$B$2,0)</f>
        <v/>
      </c>
      <c r="S79">
        <f>IF(M79="Y",J79*K79*Escalation!$B$3,0)</f>
        <v/>
      </c>
      <c r="T79">
        <f>IF(N79="Y",J79*K79*Escalation!$B$4,0)</f>
        <v/>
      </c>
      <c r="U79">
        <f>IF(O79="Y",J79*K79*Escalation!$B$5,0)</f>
        <v/>
      </c>
      <c r="V79">
        <f>IF(P79="Y",J79*K79*Escalation!$B$6,0)</f>
        <v/>
      </c>
      <c r="W79">
        <f>IF(Q79="Y",J79*K79*Escalation!$B$7,0)</f>
        <v/>
      </c>
      <c r="X79">
        <f>SUM(R79:W79)</f>
        <v/>
      </c>
    </row>
    <row r="80">
      <c r="J80">
        <f>IF(C80="FTE",B80*1880,B80)</f>
        <v/>
      </c>
      <c r="K80">
        <f>E80*(1+F80)*(1+G80)*(1+H80)*(1+I80)</f>
        <v/>
      </c>
      <c r="R80">
        <f>IF(L80="Y",J80*K80*Escalation!$B$2,0)</f>
        <v/>
      </c>
      <c r="S80">
        <f>IF(M80="Y",J80*K80*Escalation!$B$3,0)</f>
        <v/>
      </c>
      <c r="T80">
        <f>IF(N80="Y",J80*K80*Escalation!$B$4,0)</f>
        <v/>
      </c>
      <c r="U80">
        <f>IF(O80="Y",J80*K80*Escalation!$B$5,0)</f>
        <v/>
      </c>
      <c r="V80">
        <f>IF(P80="Y",J80*K80*Escalation!$B$6,0)</f>
        <v/>
      </c>
      <c r="W80">
        <f>IF(Q80="Y",J80*K80*Escalation!$B$7,0)</f>
        <v/>
      </c>
      <c r="X80">
        <f>SUM(R80:W80)</f>
        <v/>
      </c>
    </row>
    <row r="81">
      <c r="J81">
        <f>IF(C81="FTE",B81*1880,B81)</f>
        <v/>
      </c>
      <c r="K81">
        <f>E81*(1+F81)*(1+G81)*(1+H81)*(1+I81)</f>
        <v/>
      </c>
      <c r="R81">
        <f>IF(L81="Y",J81*K81*Escalation!$B$2,0)</f>
        <v/>
      </c>
      <c r="S81">
        <f>IF(M81="Y",J81*K81*Escalation!$B$3,0)</f>
        <v/>
      </c>
      <c r="T81">
        <f>IF(N81="Y",J81*K81*Escalation!$B$4,0)</f>
        <v/>
      </c>
      <c r="U81">
        <f>IF(O81="Y",J81*K81*Escalation!$B$5,0)</f>
        <v/>
      </c>
      <c r="V81">
        <f>IF(P81="Y",J81*K81*Escalation!$B$6,0)</f>
        <v/>
      </c>
      <c r="W81">
        <f>IF(Q81="Y",J81*K81*Escalation!$B$7,0)</f>
        <v/>
      </c>
      <c r="X81">
        <f>SUM(R81:W81)</f>
        <v/>
      </c>
    </row>
    <row r="82">
      <c r="J82">
        <f>IF(C82="FTE",B82*1880,B82)</f>
        <v/>
      </c>
      <c r="K82">
        <f>E82*(1+F82)*(1+G82)*(1+H82)*(1+I82)</f>
        <v/>
      </c>
      <c r="R82">
        <f>IF(L82="Y",J82*K82*Escalation!$B$2,0)</f>
        <v/>
      </c>
      <c r="S82">
        <f>IF(M82="Y",J82*K82*Escalation!$B$3,0)</f>
        <v/>
      </c>
      <c r="T82">
        <f>IF(N82="Y",J82*K82*Escalation!$B$4,0)</f>
        <v/>
      </c>
      <c r="U82">
        <f>IF(O82="Y",J82*K82*Escalation!$B$5,0)</f>
        <v/>
      </c>
      <c r="V82">
        <f>IF(P82="Y",J82*K82*Escalation!$B$6,0)</f>
        <v/>
      </c>
      <c r="W82">
        <f>IF(Q82="Y",J82*K82*Escalation!$B$7,0)</f>
        <v/>
      </c>
      <c r="X82">
        <f>SUM(R82:W82)</f>
        <v/>
      </c>
    </row>
    <row r="83">
      <c r="J83">
        <f>IF(C83="FTE",B83*1880,B83)</f>
        <v/>
      </c>
      <c r="K83">
        <f>E83*(1+F83)*(1+G83)*(1+H83)*(1+I83)</f>
        <v/>
      </c>
      <c r="R83">
        <f>IF(L83="Y",J83*K83*Escalation!$B$2,0)</f>
        <v/>
      </c>
      <c r="S83">
        <f>IF(M83="Y",J83*K83*Escalation!$B$3,0)</f>
        <v/>
      </c>
      <c r="T83">
        <f>IF(N83="Y",J83*K83*Escalation!$B$4,0)</f>
        <v/>
      </c>
      <c r="U83">
        <f>IF(O83="Y",J83*K83*Escalation!$B$5,0)</f>
        <v/>
      </c>
      <c r="V83">
        <f>IF(P83="Y",J83*K83*Escalation!$B$6,0)</f>
        <v/>
      </c>
      <c r="W83">
        <f>IF(Q83="Y",J83*K83*Escalation!$B$7,0)</f>
        <v/>
      </c>
      <c r="X83">
        <f>SUM(R83:W83)</f>
        <v/>
      </c>
    </row>
    <row r="84">
      <c r="J84">
        <f>IF(C84="FTE",B84*1880,B84)</f>
        <v/>
      </c>
      <c r="K84">
        <f>E84*(1+F84)*(1+G84)*(1+H84)*(1+I84)</f>
        <v/>
      </c>
      <c r="R84">
        <f>IF(L84="Y",J84*K84*Escalation!$B$2,0)</f>
        <v/>
      </c>
      <c r="S84">
        <f>IF(M84="Y",J84*K84*Escalation!$B$3,0)</f>
        <v/>
      </c>
      <c r="T84">
        <f>IF(N84="Y",J84*K84*Escalation!$B$4,0)</f>
        <v/>
      </c>
      <c r="U84">
        <f>IF(O84="Y",J84*K84*Escalation!$B$5,0)</f>
        <v/>
      </c>
      <c r="V84">
        <f>IF(P84="Y",J84*K84*Escalation!$B$6,0)</f>
        <v/>
      </c>
      <c r="W84">
        <f>IF(Q84="Y",J84*K84*Escalation!$B$7,0)</f>
        <v/>
      </c>
      <c r="X84">
        <f>SUM(R84:W84)</f>
        <v/>
      </c>
    </row>
    <row r="85">
      <c r="J85">
        <f>IF(C85="FTE",B85*1880,B85)</f>
        <v/>
      </c>
      <c r="K85">
        <f>E85*(1+F85)*(1+G85)*(1+H85)*(1+I85)</f>
        <v/>
      </c>
      <c r="R85">
        <f>IF(L85="Y",J85*K85*Escalation!$B$2,0)</f>
        <v/>
      </c>
      <c r="S85">
        <f>IF(M85="Y",J85*K85*Escalation!$B$3,0)</f>
        <v/>
      </c>
      <c r="T85">
        <f>IF(N85="Y",J85*K85*Escalation!$B$4,0)</f>
        <v/>
      </c>
      <c r="U85">
        <f>IF(O85="Y",J85*K85*Escalation!$B$5,0)</f>
        <v/>
      </c>
      <c r="V85">
        <f>IF(P85="Y",J85*K85*Escalation!$B$6,0)</f>
        <v/>
      </c>
      <c r="W85">
        <f>IF(Q85="Y",J85*K85*Escalation!$B$7,0)</f>
        <v/>
      </c>
      <c r="X85">
        <f>SUM(R85:W85)</f>
        <v/>
      </c>
    </row>
    <row r="86">
      <c r="J86">
        <f>IF(C86="FTE",B86*1880,B86)</f>
        <v/>
      </c>
      <c r="K86">
        <f>E86*(1+F86)*(1+G86)*(1+H86)*(1+I86)</f>
        <v/>
      </c>
      <c r="R86">
        <f>IF(L86="Y",J86*K86*Escalation!$B$2,0)</f>
        <v/>
      </c>
      <c r="S86">
        <f>IF(M86="Y",J86*K86*Escalation!$B$3,0)</f>
        <v/>
      </c>
      <c r="T86">
        <f>IF(N86="Y",J86*K86*Escalation!$B$4,0)</f>
        <v/>
      </c>
      <c r="U86">
        <f>IF(O86="Y",J86*K86*Escalation!$B$5,0)</f>
        <v/>
      </c>
      <c r="V86">
        <f>IF(P86="Y",J86*K86*Escalation!$B$6,0)</f>
        <v/>
      </c>
      <c r="W86">
        <f>IF(Q86="Y",J86*K86*Escalation!$B$7,0)</f>
        <v/>
      </c>
      <c r="X86">
        <f>SUM(R86:W86)</f>
        <v/>
      </c>
    </row>
    <row r="87">
      <c r="J87">
        <f>IF(C87="FTE",B87*1880,B87)</f>
        <v/>
      </c>
      <c r="K87">
        <f>E87*(1+F87)*(1+G87)*(1+H87)*(1+I87)</f>
        <v/>
      </c>
      <c r="R87">
        <f>IF(L87="Y",J87*K87*Escalation!$B$2,0)</f>
        <v/>
      </c>
      <c r="S87">
        <f>IF(M87="Y",J87*K87*Escalation!$B$3,0)</f>
        <v/>
      </c>
      <c r="T87">
        <f>IF(N87="Y",J87*K87*Escalation!$B$4,0)</f>
        <v/>
      </c>
      <c r="U87">
        <f>IF(O87="Y",J87*K87*Escalation!$B$5,0)</f>
        <v/>
      </c>
      <c r="V87">
        <f>IF(P87="Y",J87*K87*Escalation!$B$6,0)</f>
        <v/>
      </c>
      <c r="W87">
        <f>IF(Q87="Y",J87*K87*Escalation!$B$7,0)</f>
        <v/>
      </c>
      <c r="X87">
        <f>SUM(R87:W87)</f>
        <v/>
      </c>
    </row>
    <row r="88">
      <c r="J88">
        <f>IF(C88="FTE",B88*1880,B88)</f>
        <v/>
      </c>
      <c r="K88">
        <f>E88*(1+F88)*(1+G88)*(1+H88)*(1+I88)</f>
        <v/>
      </c>
      <c r="R88">
        <f>IF(L88="Y",J88*K88*Escalation!$B$2,0)</f>
        <v/>
      </c>
      <c r="S88">
        <f>IF(M88="Y",J88*K88*Escalation!$B$3,0)</f>
        <v/>
      </c>
      <c r="T88">
        <f>IF(N88="Y",J88*K88*Escalation!$B$4,0)</f>
        <v/>
      </c>
      <c r="U88">
        <f>IF(O88="Y",J88*K88*Escalation!$B$5,0)</f>
        <v/>
      </c>
      <c r="V88">
        <f>IF(P88="Y",J88*K88*Escalation!$B$6,0)</f>
        <v/>
      </c>
      <c r="W88">
        <f>IF(Q88="Y",J88*K88*Escalation!$B$7,0)</f>
        <v/>
      </c>
      <c r="X88">
        <f>SUM(R88:W88)</f>
        <v/>
      </c>
    </row>
    <row r="89">
      <c r="J89">
        <f>IF(C89="FTE",B89*1880,B89)</f>
        <v/>
      </c>
      <c r="K89">
        <f>E89*(1+F89)*(1+G89)*(1+H89)*(1+I89)</f>
        <v/>
      </c>
      <c r="R89">
        <f>IF(L89="Y",J89*K89*Escalation!$B$2,0)</f>
        <v/>
      </c>
      <c r="S89">
        <f>IF(M89="Y",J89*K89*Escalation!$B$3,0)</f>
        <v/>
      </c>
      <c r="T89">
        <f>IF(N89="Y",J89*K89*Escalation!$B$4,0)</f>
        <v/>
      </c>
      <c r="U89">
        <f>IF(O89="Y",J89*K89*Escalation!$B$5,0)</f>
        <v/>
      </c>
      <c r="V89">
        <f>IF(P89="Y",J89*K89*Escalation!$B$6,0)</f>
        <v/>
      </c>
      <c r="W89">
        <f>IF(Q89="Y",J89*K89*Escalation!$B$7,0)</f>
        <v/>
      </c>
      <c r="X89">
        <f>SUM(R89:W89)</f>
        <v/>
      </c>
    </row>
    <row r="90">
      <c r="J90">
        <f>IF(C90="FTE",B90*1880,B90)</f>
        <v/>
      </c>
      <c r="K90">
        <f>E90*(1+F90)*(1+G90)*(1+H90)*(1+I90)</f>
        <v/>
      </c>
      <c r="R90">
        <f>IF(L90="Y",J90*K90*Escalation!$B$2,0)</f>
        <v/>
      </c>
      <c r="S90">
        <f>IF(M90="Y",J90*K90*Escalation!$B$3,0)</f>
        <v/>
      </c>
      <c r="T90">
        <f>IF(N90="Y",J90*K90*Escalation!$B$4,0)</f>
        <v/>
      </c>
      <c r="U90">
        <f>IF(O90="Y",J90*K90*Escalation!$B$5,0)</f>
        <v/>
      </c>
      <c r="V90">
        <f>IF(P90="Y",J90*K90*Escalation!$B$6,0)</f>
        <v/>
      </c>
      <c r="W90">
        <f>IF(Q90="Y",J90*K90*Escalation!$B$7,0)</f>
        <v/>
      </c>
      <c r="X90">
        <f>SUM(R90:W90)</f>
        <v/>
      </c>
    </row>
    <row r="91">
      <c r="J91">
        <f>IF(C91="FTE",B91*1880,B91)</f>
        <v/>
      </c>
      <c r="K91">
        <f>E91*(1+F91)*(1+G91)*(1+H91)*(1+I91)</f>
        <v/>
      </c>
      <c r="R91">
        <f>IF(L91="Y",J91*K91*Escalation!$B$2,0)</f>
        <v/>
      </c>
      <c r="S91">
        <f>IF(M91="Y",J91*K91*Escalation!$B$3,0)</f>
        <v/>
      </c>
      <c r="T91">
        <f>IF(N91="Y",J91*K91*Escalation!$B$4,0)</f>
        <v/>
      </c>
      <c r="U91">
        <f>IF(O91="Y",J91*K91*Escalation!$B$5,0)</f>
        <v/>
      </c>
      <c r="V91">
        <f>IF(P91="Y",J91*K91*Escalation!$B$6,0)</f>
        <v/>
      </c>
      <c r="W91">
        <f>IF(Q91="Y",J91*K91*Escalation!$B$7,0)</f>
        <v/>
      </c>
      <c r="X91">
        <f>SUM(R91:W91)</f>
        <v/>
      </c>
    </row>
    <row r="92">
      <c r="J92">
        <f>IF(C92="FTE",B92*1880,B92)</f>
        <v/>
      </c>
      <c r="K92">
        <f>E92*(1+F92)*(1+G92)*(1+H92)*(1+I92)</f>
        <v/>
      </c>
      <c r="R92">
        <f>IF(L92="Y",J92*K92*Escalation!$B$2,0)</f>
        <v/>
      </c>
      <c r="S92">
        <f>IF(M92="Y",J92*K92*Escalation!$B$3,0)</f>
        <v/>
      </c>
      <c r="T92">
        <f>IF(N92="Y",J92*K92*Escalation!$B$4,0)</f>
        <v/>
      </c>
      <c r="U92">
        <f>IF(O92="Y",J92*K92*Escalation!$B$5,0)</f>
        <v/>
      </c>
      <c r="V92">
        <f>IF(P92="Y",J92*K92*Escalation!$B$6,0)</f>
        <v/>
      </c>
      <c r="W92">
        <f>IF(Q92="Y",J92*K92*Escalation!$B$7,0)</f>
        <v/>
      </c>
      <c r="X92">
        <f>SUM(R92:W92)</f>
        <v/>
      </c>
    </row>
    <row r="93">
      <c r="J93">
        <f>IF(C93="FTE",B93*1880,B93)</f>
        <v/>
      </c>
      <c r="K93">
        <f>E93*(1+F93)*(1+G93)*(1+H93)*(1+I93)</f>
        <v/>
      </c>
      <c r="R93">
        <f>IF(L93="Y",J93*K93*Escalation!$B$2,0)</f>
        <v/>
      </c>
      <c r="S93">
        <f>IF(M93="Y",J93*K93*Escalation!$B$3,0)</f>
        <v/>
      </c>
      <c r="T93">
        <f>IF(N93="Y",J93*K93*Escalation!$B$4,0)</f>
        <v/>
      </c>
      <c r="U93">
        <f>IF(O93="Y",J93*K93*Escalation!$B$5,0)</f>
        <v/>
      </c>
      <c r="V93">
        <f>IF(P93="Y",J93*K93*Escalation!$B$6,0)</f>
        <v/>
      </c>
      <c r="W93">
        <f>IF(Q93="Y",J93*K93*Escalation!$B$7,0)</f>
        <v/>
      </c>
      <c r="X93">
        <f>SUM(R93:W93)</f>
        <v/>
      </c>
    </row>
    <row r="94">
      <c r="J94">
        <f>IF(C94="FTE",B94*1880,B94)</f>
        <v/>
      </c>
      <c r="K94">
        <f>E94*(1+F94)*(1+G94)*(1+H94)*(1+I94)</f>
        <v/>
      </c>
      <c r="R94">
        <f>IF(L94="Y",J94*K94*Escalation!$B$2,0)</f>
        <v/>
      </c>
      <c r="S94">
        <f>IF(M94="Y",J94*K94*Escalation!$B$3,0)</f>
        <v/>
      </c>
      <c r="T94">
        <f>IF(N94="Y",J94*K94*Escalation!$B$4,0)</f>
        <v/>
      </c>
      <c r="U94">
        <f>IF(O94="Y",J94*K94*Escalation!$B$5,0)</f>
        <v/>
      </c>
      <c r="V94">
        <f>IF(P94="Y",J94*K94*Escalation!$B$6,0)</f>
        <v/>
      </c>
      <c r="W94">
        <f>IF(Q94="Y",J94*K94*Escalation!$B$7,0)</f>
        <v/>
      </c>
      <c r="X94">
        <f>SUM(R94:W94)</f>
        <v/>
      </c>
    </row>
    <row r="95">
      <c r="J95">
        <f>IF(C95="FTE",B95*1880,B95)</f>
        <v/>
      </c>
      <c r="K95">
        <f>E95*(1+F95)*(1+G95)*(1+H95)*(1+I95)</f>
        <v/>
      </c>
      <c r="R95">
        <f>IF(L95="Y",J95*K95*Escalation!$B$2,0)</f>
        <v/>
      </c>
      <c r="S95">
        <f>IF(M95="Y",J95*K95*Escalation!$B$3,0)</f>
        <v/>
      </c>
      <c r="T95">
        <f>IF(N95="Y",J95*K95*Escalation!$B$4,0)</f>
        <v/>
      </c>
      <c r="U95">
        <f>IF(O95="Y",J95*K95*Escalation!$B$5,0)</f>
        <v/>
      </c>
      <c r="V95">
        <f>IF(P95="Y",J95*K95*Escalation!$B$6,0)</f>
        <v/>
      </c>
      <c r="W95">
        <f>IF(Q95="Y",J95*K95*Escalation!$B$7,0)</f>
        <v/>
      </c>
      <c r="X95">
        <f>SUM(R95:W95)</f>
        <v/>
      </c>
    </row>
    <row r="96">
      <c r="J96">
        <f>IF(C96="FTE",B96*1880,B96)</f>
        <v/>
      </c>
      <c r="K96">
        <f>E96*(1+F96)*(1+G96)*(1+H96)*(1+I96)</f>
        <v/>
      </c>
      <c r="R96">
        <f>IF(L96="Y",J96*K96*Escalation!$B$2,0)</f>
        <v/>
      </c>
      <c r="S96">
        <f>IF(M96="Y",J96*K96*Escalation!$B$3,0)</f>
        <v/>
      </c>
      <c r="T96">
        <f>IF(N96="Y",J96*K96*Escalation!$B$4,0)</f>
        <v/>
      </c>
      <c r="U96">
        <f>IF(O96="Y",J96*K96*Escalation!$B$5,0)</f>
        <v/>
      </c>
      <c r="V96">
        <f>IF(P96="Y",J96*K96*Escalation!$B$6,0)</f>
        <v/>
      </c>
      <c r="W96">
        <f>IF(Q96="Y",J96*K96*Escalation!$B$7,0)</f>
        <v/>
      </c>
      <c r="X96">
        <f>SUM(R96:W96)</f>
        <v/>
      </c>
    </row>
    <row r="97">
      <c r="J97">
        <f>IF(C97="FTE",B97*1880,B97)</f>
        <v/>
      </c>
      <c r="K97">
        <f>E97*(1+F97)*(1+G97)*(1+H97)*(1+I97)</f>
        <v/>
      </c>
      <c r="R97">
        <f>IF(L97="Y",J97*K97*Escalation!$B$2,0)</f>
        <v/>
      </c>
      <c r="S97">
        <f>IF(M97="Y",J97*K97*Escalation!$B$3,0)</f>
        <v/>
      </c>
      <c r="T97">
        <f>IF(N97="Y",J97*K97*Escalation!$B$4,0)</f>
        <v/>
      </c>
      <c r="U97">
        <f>IF(O97="Y",J97*K97*Escalation!$B$5,0)</f>
        <v/>
      </c>
      <c r="V97">
        <f>IF(P97="Y",J97*K97*Escalation!$B$6,0)</f>
        <v/>
      </c>
      <c r="W97">
        <f>IF(Q97="Y",J97*K97*Escalation!$B$7,0)</f>
        <v/>
      </c>
      <c r="X97">
        <f>SUM(R97:W97)</f>
        <v/>
      </c>
    </row>
    <row r="98">
      <c r="J98">
        <f>IF(C98="FTE",B98*1880,B98)</f>
        <v/>
      </c>
      <c r="K98">
        <f>E98*(1+F98)*(1+G98)*(1+H98)*(1+I98)</f>
        <v/>
      </c>
      <c r="R98">
        <f>IF(L98="Y",J98*K98*Escalation!$B$2,0)</f>
        <v/>
      </c>
      <c r="S98">
        <f>IF(M98="Y",J98*K98*Escalation!$B$3,0)</f>
        <v/>
      </c>
      <c r="T98">
        <f>IF(N98="Y",J98*K98*Escalation!$B$4,0)</f>
        <v/>
      </c>
      <c r="U98">
        <f>IF(O98="Y",J98*K98*Escalation!$B$5,0)</f>
        <v/>
      </c>
      <c r="V98">
        <f>IF(P98="Y",J98*K98*Escalation!$B$6,0)</f>
        <v/>
      </c>
      <c r="W98">
        <f>IF(Q98="Y",J98*K98*Escalation!$B$7,0)</f>
        <v/>
      </c>
      <c r="X98">
        <f>SUM(R98:W98)</f>
        <v/>
      </c>
    </row>
    <row r="99">
      <c r="J99">
        <f>IF(C99="FTE",B99*1880,B99)</f>
        <v/>
      </c>
      <c r="K99">
        <f>E99*(1+F99)*(1+G99)*(1+H99)*(1+I99)</f>
        <v/>
      </c>
      <c r="R99">
        <f>IF(L99="Y",J99*K99*Escalation!$B$2,0)</f>
        <v/>
      </c>
      <c r="S99">
        <f>IF(M99="Y",J99*K99*Escalation!$B$3,0)</f>
        <v/>
      </c>
      <c r="T99">
        <f>IF(N99="Y",J99*K99*Escalation!$B$4,0)</f>
        <v/>
      </c>
      <c r="U99">
        <f>IF(O99="Y",J99*K99*Escalation!$B$5,0)</f>
        <v/>
      </c>
      <c r="V99">
        <f>IF(P99="Y",J99*K99*Escalation!$B$6,0)</f>
        <v/>
      </c>
      <c r="W99">
        <f>IF(Q99="Y",J99*K99*Escalation!$B$7,0)</f>
        <v/>
      </c>
      <c r="X99">
        <f>SUM(R99:W99)</f>
        <v/>
      </c>
    </row>
    <row r="100">
      <c r="J100">
        <f>IF(C100="FTE",B100*1880,B100)</f>
        <v/>
      </c>
      <c r="K100">
        <f>E100*(1+F100)*(1+G100)*(1+H100)*(1+I100)</f>
        <v/>
      </c>
      <c r="R100">
        <f>IF(L100="Y",J100*K100*Escalation!$B$2,0)</f>
        <v/>
      </c>
      <c r="S100">
        <f>IF(M100="Y",J100*K100*Escalation!$B$3,0)</f>
        <v/>
      </c>
      <c r="T100">
        <f>IF(N100="Y",J100*K100*Escalation!$B$4,0)</f>
        <v/>
      </c>
      <c r="U100">
        <f>IF(O100="Y",J100*K100*Escalation!$B$5,0)</f>
        <v/>
      </c>
      <c r="V100">
        <f>IF(P100="Y",J100*K100*Escalation!$B$6,0)</f>
        <v/>
      </c>
      <c r="W100">
        <f>IF(Q100="Y",J100*K100*Escalation!$B$7,0)</f>
        <v/>
      </c>
      <c r="X100">
        <f>SUM(R100:W100)</f>
        <v/>
      </c>
    </row>
    <row r="101">
      <c r="J101">
        <f>IF(C101="FTE",B101*1880,B101)</f>
        <v/>
      </c>
      <c r="K101">
        <f>E101*(1+F101)*(1+G101)*(1+H101)*(1+I101)</f>
        <v/>
      </c>
      <c r="R101">
        <f>IF(L101="Y",J101*K101*Escalation!$B$2,0)</f>
        <v/>
      </c>
      <c r="S101">
        <f>IF(M101="Y",J101*K101*Escalation!$B$3,0)</f>
        <v/>
      </c>
      <c r="T101">
        <f>IF(N101="Y",J101*K101*Escalation!$B$4,0)</f>
        <v/>
      </c>
      <c r="U101">
        <f>IF(O101="Y",J101*K101*Escalation!$B$5,0)</f>
        <v/>
      </c>
      <c r="V101">
        <f>IF(P101="Y",J101*K101*Escalation!$B$6,0)</f>
        <v/>
      </c>
      <c r="W101">
        <f>IF(Q101="Y",J101*K101*Escalation!$B$7,0)</f>
        <v/>
      </c>
      <c r="X101">
        <f>SUM(R101:W101)</f>
        <v/>
      </c>
    </row>
    <row r="102">
      <c r="J102">
        <f>IF(C102="FTE",B102*1880,B102)</f>
        <v/>
      </c>
      <c r="K102">
        <f>E102*(1+F102)*(1+G102)*(1+H102)*(1+I102)</f>
        <v/>
      </c>
      <c r="R102">
        <f>IF(L102="Y",J102*K102*Escalation!$B$2,0)</f>
        <v/>
      </c>
      <c r="S102">
        <f>IF(M102="Y",J102*K102*Escalation!$B$3,0)</f>
        <v/>
      </c>
      <c r="T102">
        <f>IF(N102="Y",J102*K102*Escalation!$B$4,0)</f>
        <v/>
      </c>
      <c r="U102">
        <f>IF(O102="Y",J102*K102*Escalation!$B$5,0)</f>
        <v/>
      </c>
      <c r="V102">
        <f>IF(P102="Y",J102*K102*Escalation!$B$6,0)</f>
        <v/>
      </c>
      <c r="W102">
        <f>IF(Q102="Y",J102*K102*Escalation!$B$7,0)</f>
        <v/>
      </c>
      <c r="X102">
        <f>SUM(R102:W102)</f>
        <v/>
      </c>
    </row>
    <row r="103">
      <c r="J103">
        <f>IF(C103="FTE",B103*1880,B103)</f>
        <v/>
      </c>
      <c r="K103">
        <f>E103*(1+F103)*(1+G103)*(1+H103)*(1+I103)</f>
        <v/>
      </c>
      <c r="R103">
        <f>IF(L103="Y",J103*K103*Escalation!$B$2,0)</f>
        <v/>
      </c>
      <c r="S103">
        <f>IF(M103="Y",J103*K103*Escalation!$B$3,0)</f>
        <v/>
      </c>
      <c r="T103">
        <f>IF(N103="Y",J103*K103*Escalation!$B$4,0)</f>
        <v/>
      </c>
      <c r="U103">
        <f>IF(O103="Y",J103*K103*Escalation!$B$5,0)</f>
        <v/>
      </c>
      <c r="V103">
        <f>IF(P103="Y",J103*K103*Escalation!$B$6,0)</f>
        <v/>
      </c>
      <c r="W103">
        <f>IF(Q103="Y",J103*K103*Escalation!$B$7,0)</f>
        <v/>
      </c>
      <c r="X103">
        <f>SUM(R103:W103)</f>
        <v/>
      </c>
    </row>
    <row r="104">
      <c r="J104">
        <f>IF(C104="FTE",B104*1880,B104)</f>
        <v/>
      </c>
      <c r="K104">
        <f>E104*(1+F104)*(1+G104)*(1+H104)*(1+I104)</f>
        <v/>
      </c>
      <c r="R104">
        <f>IF(L104="Y",J104*K104*Escalation!$B$2,0)</f>
        <v/>
      </c>
      <c r="S104">
        <f>IF(M104="Y",J104*K104*Escalation!$B$3,0)</f>
        <v/>
      </c>
      <c r="T104">
        <f>IF(N104="Y",J104*K104*Escalation!$B$4,0)</f>
        <v/>
      </c>
      <c r="U104">
        <f>IF(O104="Y",J104*K104*Escalation!$B$5,0)</f>
        <v/>
      </c>
      <c r="V104">
        <f>IF(P104="Y",J104*K104*Escalation!$B$6,0)</f>
        <v/>
      </c>
      <c r="W104">
        <f>IF(Q104="Y",J104*K104*Escalation!$B$7,0)</f>
        <v/>
      </c>
      <c r="X104">
        <f>SUM(R104:W104)</f>
        <v/>
      </c>
    </row>
    <row r="105">
      <c r="J105">
        <f>IF(C105="FTE",B105*1880,B105)</f>
        <v/>
      </c>
      <c r="K105">
        <f>E105*(1+F105)*(1+G105)*(1+H105)*(1+I105)</f>
        <v/>
      </c>
      <c r="R105">
        <f>IF(L105="Y",J105*K105*Escalation!$B$2,0)</f>
        <v/>
      </c>
      <c r="S105">
        <f>IF(M105="Y",J105*K105*Escalation!$B$3,0)</f>
        <v/>
      </c>
      <c r="T105">
        <f>IF(N105="Y",J105*K105*Escalation!$B$4,0)</f>
        <v/>
      </c>
      <c r="U105">
        <f>IF(O105="Y",J105*K105*Escalation!$B$5,0)</f>
        <v/>
      </c>
      <c r="V105">
        <f>IF(P105="Y",J105*K105*Escalation!$B$6,0)</f>
        <v/>
      </c>
      <c r="W105">
        <f>IF(Q105="Y",J105*K105*Escalation!$B$7,0)</f>
        <v/>
      </c>
      <c r="X105">
        <f>SUM(R105:W105)</f>
        <v/>
      </c>
    </row>
    <row r="106">
      <c r="J106">
        <f>IF(C106="FTE",B106*1880,B106)</f>
        <v/>
      </c>
      <c r="K106">
        <f>E106*(1+F106)*(1+G106)*(1+H106)*(1+I106)</f>
        <v/>
      </c>
      <c r="R106">
        <f>IF(L106="Y",J106*K106*Escalation!$B$2,0)</f>
        <v/>
      </c>
      <c r="S106">
        <f>IF(M106="Y",J106*K106*Escalation!$B$3,0)</f>
        <v/>
      </c>
      <c r="T106">
        <f>IF(N106="Y",J106*K106*Escalation!$B$4,0)</f>
        <v/>
      </c>
      <c r="U106">
        <f>IF(O106="Y",J106*K106*Escalation!$B$5,0)</f>
        <v/>
      </c>
      <c r="V106">
        <f>IF(P106="Y",J106*K106*Escalation!$B$6,0)</f>
        <v/>
      </c>
      <c r="W106">
        <f>IF(Q106="Y",J106*K106*Escalation!$B$7,0)</f>
        <v/>
      </c>
      <c r="X106">
        <f>SUM(R106:W106)</f>
        <v/>
      </c>
    </row>
    <row r="107">
      <c r="J107">
        <f>IF(C107="FTE",B107*1880,B107)</f>
        <v/>
      </c>
      <c r="K107">
        <f>E107*(1+F107)*(1+G107)*(1+H107)*(1+I107)</f>
        <v/>
      </c>
      <c r="R107">
        <f>IF(L107="Y",J107*K107*Escalation!$B$2,0)</f>
        <v/>
      </c>
      <c r="S107">
        <f>IF(M107="Y",J107*K107*Escalation!$B$3,0)</f>
        <v/>
      </c>
      <c r="T107">
        <f>IF(N107="Y",J107*K107*Escalation!$B$4,0)</f>
        <v/>
      </c>
      <c r="U107">
        <f>IF(O107="Y",J107*K107*Escalation!$B$5,0)</f>
        <v/>
      </c>
      <c r="V107">
        <f>IF(P107="Y",J107*K107*Escalation!$B$6,0)</f>
        <v/>
      </c>
      <c r="W107">
        <f>IF(Q107="Y",J107*K107*Escalation!$B$7,0)</f>
        <v/>
      </c>
      <c r="X107">
        <f>SUM(R107:W107)</f>
        <v/>
      </c>
    </row>
    <row r="108">
      <c r="J108">
        <f>IF(C108="FTE",B108*1880,B108)</f>
        <v/>
      </c>
      <c r="K108">
        <f>E108*(1+F108)*(1+G108)*(1+H108)*(1+I108)</f>
        <v/>
      </c>
      <c r="R108">
        <f>IF(L108="Y",J108*K108*Escalation!$B$2,0)</f>
        <v/>
      </c>
      <c r="S108">
        <f>IF(M108="Y",J108*K108*Escalation!$B$3,0)</f>
        <v/>
      </c>
      <c r="T108">
        <f>IF(N108="Y",J108*K108*Escalation!$B$4,0)</f>
        <v/>
      </c>
      <c r="U108">
        <f>IF(O108="Y",J108*K108*Escalation!$B$5,0)</f>
        <v/>
      </c>
      <c r="V108">
        <f>IF(P108="Y",J108*K108*Escalation!$B$6,0)</f>
        <v/>
      </c>
      <c r="W108">
        <f>IF(Q108="Y",J108*K108*Escalation!$B$7,0)</f>
        <v/>
      </c>
      <c r="X108">
        <f>SUM(R108:W108)</f>
        <v/>
      </c>
    </row>
    <row r="109">
      <c r="J109">
        <f>IF(C109="FTE",B109*1880,B109)</f>
        <v/>
      </c>
      <c r="K109">
        <f>E109*(1+F109)*(1+G109)*(1+H109)*(1+I109)</f>
        <v/>
      </c>
      <c r="R109">
        <f>IF(L109="Y",J109*K109*Escalation!$B$2,0)</f>
        <v/>
      </c>
      <c r="S109">
        <f>IF(M109="Y",J109*K109*Escalation!$B$3,0)</f>
        <v/>
      </c>
      <c r="T109">
        <f>IF(N109="Y",J109*K109*Escalation!$B$4,0)</f>
        <v/>
      </c>
      <c r="U109">
        <f>IF(O109="Y",J109*K109*Escalation!$B$5,0)</f>
        <v/>
      </c>
      <c r="V109">
        <f>IF(P109="Y",J109*K109*Escalation!$B$6,0)</f>
        <v/>
      </c>
      <c r="W109">
        <f>IF(Q109="Y",J109*K109*Escalation!$B$7,0)</f>
        <v/>
      </c>
      <c r="X109">
        <f>SUM(R109:W109)</f>
        <v/>
      </c>
    </row>
    <row r="110">
      <c r="J110">
        <f>IF(C110="FTE",B110*1880,B110)</f>
        <v/>
      </c>
      <c r="K110">
        <f>E110*(1+F110)*(1+G110)*(1+H110)*(1+I110)</f>
        <v/>
      </c>
      <c r="R110">
        <f>IF(L110="Y",J110*K110*Escalation!$B$2,0)</f>
        <v/>
      </c>
      <c r="S110">
        <f>IF(M110="Y",J110*K110*Escalation!$B$3,0)</f>
        <v/>
      </c>
      <c r="T110">
        <f>IF(N110="Y",J110*K110*Escalation!$B$4,0)</f>
        <v/>
      </c>
      <c r="U110">
        <f>IF(O110="Y",J110*K110*Escalation!$B$5,0)</f>
        <v/>
      </c>
      <c r="V110">
        <f>IF(P110="Y",J110*K110*Escalation!$B$6,0)</f>
        <v/>
      </c>
      <c r="W110">
        <f>IF(Q110="Y",J110*K110*Escalation!$B$7,0)</f>
        <v/>
      </c>
      <c r="X110">
        <f>SUM(R110:W110)</f>
        <v/>
      </c>
    </row>
    <row r="111">
      <c r="J111">
        <f>IF(C111="FTE",B111*1880,B111)</f>
        <v/>
      </c>
      <c r="K111">
        <f>E111*(1+F111)*(1+G111)*(1+H111)*(1+I111)</f>
        <v/>
      </c>
      <c r="R111">
        <f>IF(L111="Y",J111*K111*Escalation!$B$2,0)</f>
        <v/>
      </c>
      <c r="S111">
        <f>IF(M111="Y",J111*K111*Escalation!$B$3,0)</f>
        <v/>
      </c>
      <c r="T111">
        <f>IF(N111="Y",J111*K111*Escalation!$B$4,0)</f>
        <v/>
      </c>
      <c r="U111">
        <f>IF(O111="Y",J111*K111*Escalation!$B$5,0)</f>
        <v/>
      </c>
      <c r="V111">
        <f>IF(P111="Y",J111*K111*Escalation!$B$6,0)</f>
        <v/>
      </c>
      <c r="W111">
        <f>IF(Q111="Y",J111*K111*Escalation!$B$7,0)</f>
        <v/>
      </c>
      <c r="X111">
        <f>SUM(R111:W111)</f>
        <v/>
      </c>
    </row>
    <row r="112">
      <c r="J112">
        <f>IF(C112="FTE",B112*1880,B112)</f>
        <v/>
      </c>
      <c r="K112">
        <f>E112*(1+F112)*(1+G112)*(1+H112)*(1+I112)</f>
        <v/>
      </c>
      <c r="R112">
        <f>IF(L112="Y",J112*K112*Escalation!$B$2,0)</f>
        <v/>
      </c>
      <c r="S112">
        <f>IF(M112="Y",J112*K112*Escalation!$B$3,0)</f>
        <v/>
      </c>
      <c r="T112">
        <f>IF(N112="Y",J112*K112*Escalation!$B$4,0)</f>
        <v/>
      </c>
      <c r="U112">
        <f>IF(O112="Y",J112*K112*Escalation!$B$5,0)</f>
        <v/>
      </c>
      <c r="V112">
        <f>IF(P112="Y",J112*K112*Escalation!$B$6,0)</f>
        <v/>
      </c>
      <c r="W112">
        <f>IF(Q112="Y",J112*K112*Escalation!$B$7,0)</f>
        <v/>
      </c>
      <c r="X112">
        <f>SUM(R112:W112)</f>
        <v/>
      </c>
    </row>
    <row r="113">
      <c r="J113">
        <f>IF(C113="FTE",B113*1880,B113)</f>
        <v/>
      </c>
      <c r="K113">
        <f>E113*(1+F113)*(1+G113)*(1+H113)*(1+I113)</f>
        <v/>
      </c>
      <c r="R113">
        <f>IF(L113="Y",J113*K113*Escalation!$B$2,0)</f>
        <v/>
      </c>
      <c r="S113">
        <f>IF(M113="Y",J113*K113*Escalation!$B$3,0)</f>
        <v/>
      </c>
      <c r="T113">
        <f>IF(N113="Y",J113*K113*Escalation!$B$4,0)</f>
        <v/>
      </c>
      <c r="U113">
        <f>IF(O113="Y",J113*K113*Escalation!$B$5,0)</f>
        <v/>
      </c>
      <c r="V113">
        <f>IF(P113="Y",J113*K113*Escalation!$B$6,0)</f>
        <v/>
      </c>
      <c r="W113">
        <f>IF(Q113="Y",J113*K113*Escalation!$B$7,0)</f>
        <v/>
      </c>
      <c r="X113">
        <f>SUM(R113:W113)</f>
        <v/>
      </c>
    </row>
    <row r="114">
      <c r="J114">
        <f>IF(C114="FTE",B114*1880,B114)</f>
        <v/>
      </c>
      <c r="K114">
        <f>E114*(1+F114)*(1+G114)*(1+H114)*(1+I114)</f>
        <v/>
      </c>
      <c r="R114">
        <f>IF(L114="Y",J114*K114*Escalation!$B$2,0)</f>
        <v/>
      </c>
      <c r="S114">
        <f>IF(M114="Y",J114*K114*Escalation!$B$3,0)</f>
        <v/>
      </c>
      <c r="T114">
        <f>IF(N114="Y",J114*K114*Escalation!$B$4,0)</f>
        <v/>
      </c>
      <c r="U114">
        <f>IF(O114="Y",J114*K114*Escalation!$B$5,0)</f>
        <v/>
      </c>
      <c r="V114">
        <f>IF(P114="Y",J114*K114*Escalation!$B$6,0)</f>
        <v/>
      </c>
      <c r="W114">
        <f>IF(Q114="Y",J114*K114*Escalation!$B$7,0)</f>
        <v/>
      </c>
      <c r="X114">
        <f>SUM(R114:W114)</f>
        <v/>
      </c>
    </row>
    <row r="115">
      <c r="J115">
        <f>IF(C115="FTE",B115*1880,B115)</f>
        <v/>
      </c>
      <c r="K115">
        <f>E115*(1+F115)*(1+G115)*(1+H115)*(1+I115)</f>
        <v/>
      </c>
      <c r="R115">
        <f>IF(L115="Y",J115*K115*Escalation!$B$2,0)</f>
        <v/>
      </c>
      <c r="S115">
        <f>IF(M115="Y",J115*K115*Escalation!$B$3,0)</f>
        <v/>
      </c>
      <c r="T115">
        <f>IF(N115="Y",J115*K115*Escalation!$B$4,0)</f>
        <v/>
      </c>
      <c r="U115">
        <f>IF(O115="Y",J115*K115*Escalation!$B$5,0)</f>
        <v/>
      </c>
      <c r="V115">
        <f>IF(P115="Y",J115*K115*Escalation!$B$6,0)</f>
        <v/>
      </c>
      <c r="W115">
        <f>IF(Q115="Y",J115*K115*Escalation!$B$7,0)</f>
        <v/>
      </c>
      <c r="X115">
        <f>SUM(R115:W115)</f>
        <v/>
      </c>
    </row>
    <row r="116">
      <c r="J116">
        <f>IF(C116="FTE",B116*1880,B116)</f>
        <v/>
      </c>
      <c r="K116">
        <f>E116*(1+F116)*(1+G116)*(1+H116)*(1+I116)</f>
        <v/>
      </c>
      <c r="R116">
        <f>IF(L116="Y",J116*K116*Escalation!$B$2,0)</f>
        <v/>
      </c>
      <c r="S116">
        <f>IF(M116="Y",J116*K116*Escalation!$B$3,0)</f>
        <v/>
      </c>
      <c r="T116">
        <f>IF(N116="Y",J116*K116*Escalation!$B$4,0)</f>
        <v/>
      </c>
      <c r="U116">
        <f>IF(O116="Y",J116*K116*Escalation!$B$5,0)</f>
        <v/>
      </c>
      <c r="V116">
        <f>IF(P116="Y",J116*K116*Escalation!$B$6,0)</f>
        <v/>
      </c>
      <c r="W116">
        <f>IF(Q116="Y",J116*K116*Escalation!$B$7,0)</f>
        <v/>
      </c>
      <c r="X116">
        <f>SUM(R116:W116)</f>
        <v/>
      </c>
    </row>
    <row r="117">
      <c r="J117">
        <f>IF(C117="FTE",B117*1880,B117)</f>
        <v/>
      </c>
      <c r="K117">
        <f>E117*(1+F117)*(1+G117)*(1+H117)*(1+I117)</f>
        <v/>
      </c>
      <c r="R117">
        <f>IF(L117="Y",J117*K117*Escalation!$B$2,0)</f>
        <v/>
      </c>
      <c r="S117">
        <f>IF(M117="Y",J117*K117*Escalation!$B$3,0)</f>
        <v/>
      </c>
      <c r="T117">
        <f>IF(N117="Y",J117*K117*Escalation!$B$4,0)</f>
        <v/>
      </c>
      <c r="U117">
        <f>IF(O117="Y",J117*K117*Escalation!$B$5,0)</f>
        <v/>
      </c>
      <c r="V117">
        <f>IF(P117="Y",J117*K117*Escalation!$B$6,0)</f>
        <v/>
      </c>
      <c r="W117">
        <f>IF(Q117="Y",J117*K117*Escalation!$B$7,0)</f>
        <v/>
      </c>
      <c r="X117">
        <f>SUM(R117:W117)</f>
        <v/>
      </c>
    </row>
    <row r="118">
      <c r="J118">
        <f>IF(C118="FTE",B118*1880,B118)</f>
        <v/>
      </c>
      <c r="K118">
        <f>E118*(1+F118)*(1+G118)*(1+H118)*(1+I118)</f>
        <v/>
      </c>
      <c r="R118">
        <f>IF(L118="Y",J118*K118*Escalation!$B$2,0)</f>
        <v/>
      </c>
      <c r="S118">
        <f>IF(M118="Y",J118*K118*Escalation!$B$3,0)</f>
        <v/>
      </c>
      <c r="T118">
        <f>IF(N118="Y",J118*K118*Escalation!$B$4,0)</f>
        <v/>
      </c>
      <c r="U118">
        <f>IF(O118="Y",J118*K118*Escalation!$B$5,0)</f>
        <v/>
      </c>
      <c r="V118">
        <f>IF(P118="Y",J118*K118*Escalation!$B$6,0)</f>
        <v/>
      </c>
      <c r="W118">
        <f>IF(Q118="Y",J118*K118*Escalation!$B$7,0)</f>
        <v/>
      </c>
      <c r="X118">
        <f>SUM(R118:W118)</f>
        <v/>
      </c>
    </row>
    <row r="119">
      <c r="J119">
        <f>IF(C119="FTE",B119*1880,B119)</f>
        <v/>
      </c>
      <c r="K119">
        <f>E119*(1+F119)*(1+G119)*(1+H119)*(1+I119)</f>
        <v/>
      </c>
      <c r="R119">
        <f>IF(L119="Y",J119*K119*Escalation!$B$2,0)</f>
        <v/>
      </c>
      <c r="S119">
        <f>IF(M119="Y",J119*K119*Escalation!$B$3,0)</f>
        <v/>
      </c>
      <c r="T119">
        <f>IF(N119="Y",J119*K119*Escalation!$B$4,0)</f>
        <v/>
      </c>
      <c r="U119">
        <f>IF(O119="Y",J119*K119*Escalation!$B$5,0)</f>
        <v/>
      </c>
      <c r="V119">
        <f>IF(P119="Y",J119*K119*Escalation!$B$6,0)</f>
        <v/>
      </c>
      <c r="W119">
        <f>IF(Q119="Y",J119*K119*Escalation!$B$7,0)</f>
        <v/>
      </c>
      <c r="X119">
        <f>SUM(R119:W119)</f>
        <v/>
      </c>
    </row>
    <row r="120">
      <c r="J120">
        <f>IF(C120="FTE",B120*1880,B120)</f>
        <v/>
      </c>
      <c r="K120">
        <f>E120*(1+F120)*(1+G120)*(1+H120)*(1+I120)</f>
        <v/>
      </c>
      <c r="R120">
        <f>IF(L120="Y",J120*K120*Escalation!$B$2,0)</f>
        <v/>
      </c>
      <c r="S120">
        <f>IF(M120="Y",J120*K120*Escalation!$B$3,0)</f>
        <v/>
      </c>
      <c r="T120">
        <f>IF(N120="Y",J120*K120*Escalation!$B$4,0)</f>
        <v/>
      </c>
      <c r="U120">
        <f>IF(O120="Y",J120*K120*Escalation!$B$5,0)</f>
        <v/>
      </c>
      <c r="V120">
        <f>IF(P120="Y",J120*K120*Escalation!$B$6,0)</f>
        <v/>
      </c>
      <c r="W120">
        <f>IF(Q120="Y",J120*K120*Escalation!$B$7,0)</f>
        <v/>
      </c>
      <c r="X120">
        <f>SUM(R120:W120)</f>
        <v/>
      </c>
    </row>
    <row r="121">
      <c r="J121">
        <f>IF(C121="FTE",B121*1880,B121)</f>
        <v/>
      </c>
      <c r="K121">
        <f>E121*(1+F121)*(1+G121)*(1+H121)*(1+I121)</f>
        <v/>
      </c>
      <c r="R121">
        <f>IF(L121="Y",J121*K121*Escalation!$B$2,0)</f>
        <v/>
      </c>
      <c r="S121">
        <f>IF(M121="Y",J121*K121*Escalation!$B$3,0)</f>
        <v/>
      </c>
      <c r="T121">
        <f>IF(N121="Y",J121*K121*Escalation!$B$4,0)</f>
        <v/>
      </c>
      <c r="U121">
        <f>IF(O121="Y",J121*K121*Escalation!$B$5,0)</f>
        <v/>
      </c>
      <c r="V121">
        <f>IF(P121="Y",J121*K121*Escalation!$B$6,0)</f>
        <v/>
      </c>
      <c r="W121">
        <f>IF(Q121="Y",J121*K121*Escalation!$B$7,0)</f>
        <v/>
      </c>
      <c r="X121">
        <f>SUM(R121:W121)</f>
        <v/>
      </c>
    </row>
    <row r="122">
      <c r="J122">
        <f>IF(C122="FTE",B122*1880,B122)</f>
        <v/>
      </c>
      <c r="K122">
        <f>E122*(1+F122)*(1+G122)*(1+H122)*(1+I122)</f>
        <v/>
      </c>
      <c r="R122">
        <f>IF(L122="Y",J122*K122*Escalation!$B$2,0)</f>
        <v/>
      </c>
      <c r="S122">
        <f>IF(M122="Y",J122*K122*Escalation!$B$3,0)</f>
        <v/>
      </c>
      <c r="T122">
        <f>IF(N122="Y",J122*K122*Escalation!$B$4,0)</f>
        <v/>
      </c>
      <c r="U122">
        <f>IF(O122="Y",J122*K122*Escalation!$B$5,0)</f>
        <v/>
      </c>
      <c r="V122">
        <f>IF(P122="Y",J122*K122*Escalation!$B$6,0)</f>
        <v/>
      </c>
      <c r="W122">
        <f>IF(Q122="Y",J122*K122*Escalation!$B$7,0)</f>
        <v/>
      </c>
      <c r="X122">
        <f>SUM(R122:W122)</f>
        <v/>
      </c>
    </row>
    <row r="123">
      <c r="J123">
        <f>IF(C123="FTE",B123*1880,B123)</f>
        <v/>
      </c>
      <c r="K123">
        <f>E123*(1+F123)*(1+G123)*(1+H123)*(1+I123)</f>
        <v/>
      </c>
      <c r="R123">
        <f>IF(L123="Y",J123*K123*Escalation!$B$2,0)</f>
        <v/>
      </c>
      <c r="S123">
        <f>IF(M123="Y",J123*K123*Escalation!$B$3,0)</f>
        <v/>
      </c>
      <c r="T123">
        <f>IF(N123="Y",J123*K123*Escalation!$B$4,0)</f>
        <v/>
      </c>
      <c r="U123">
        <f>IF(O123="Y",J123*K123*Escalation!$B$5,0)</f>
        <v/>
      </c>
      <c r="V123">
        <f>IF(P123="Y",J123*K123*Escalation!$B$6,0)</f>
        <v/>
      </c>
      <c r="W123">
        <f>IF(Q123="Y",J123*K123*Escalation!$B$7,0)</f>
        <v/>
      </c>
      <c r="X123">
        <f>SUM(R123:W123)</f>
        <v/>
      </c>
    </row>
    <row r="124">
      <c r="J124">
        <f>IF(C124="FTE",B124*1880,B124)</f>
        <v/>
      </c>
      <c r="K124">
        <f>E124*(1+F124)*(1+G124)*(1+H124)*(1+I124)</f>
        <v/>
      </c>
      <c r="R124">
        <f>IF(L124="Y",J124*K124*Escalation!$B$2,0)</f>
        <v/>
      </c>
      <c r="S124">
        <f>IF(M124="Y",J124*K124*Escalation!$B$3,0)</f>
        <v/>
      </c>
      <c r="T124">
        <f>IF(N124="Y",J124*K124*Escalation!$B$4,0)</f>
        <v/>
      </c>
      <c r="U124">
        <f>IF(O124="Y",J124*K124*Escalation!$B$5,0)</f>
        <v/>
      </c>
      <c r="V124">
        <f>IF(P124="Y",J124*K124*Escalation!$B$6,0)</f>
        <v/>
      </c>
      <c r="W124">
        <f>IF(Q124="Y",J124*K124*Escalation!$B$7,0)</f>
        <v/>
      </c>
      <c r="X124">
        <f>SUM(R124:W124)</f>
        <v/>
      </c>
    </row>
    <row r="125">
      <c r="J125">
        <f>IF(C125="FTE",B125*1880,B125)</f>
        <v/>
      </c>
      <c r="K125">
        <f>E125*(1+F125)*(1+G125)*(1+H125)*(1+I125)</f>
        <v/>
      </c>
      <c r="R125">
        <f>IF(L125="Y",J125*K125*Escalation!$B$2,0)</f>
        <v/>
      </c>
      <c r="S125">
        <f>IF(M125="Y",J125*K125*Escalation!$B$3,0)</f>
        <v/>
      </c>
      <c r="T125">
        <f>IF(N125="Y",J125*K125*Escalation!$B$4,0)</f>
        <v/>
      </c>
      <c r="U125">
        <f>IF(O125="Y",J125*K125*Escalation!$B$5,0)</f>
        <v/>
      </c>
      <c r="V125">
        <f>IF(P125="Y",J125*K125*Escalation!$B$6,0)</f>
        <v/>
      </c>
      <c r="W125">
        <f>IF(Q125="Y",J125*K125*Escalation!$B$7,0)</f>
        <v/>
      </c>
      <c r="X125">
        <f>SUM(R125:W125)</f>
        <v/>
      </c>
    </row>
    <row r="126">
      <c r="J126">
        <f>IF(C126="FTE",B126*1880,B126)</f>
        <v/>
      </c>
      <c r="K126">
        <f>E126*(1+F126)*(1+G126)*(1+H126)*(1+I126)</f>
        <v/>
      </c>
      <c r="R126">
        <f>IF(L126="Y",J126*K126*Escalation!$B$2,0)</f>
        <v/>
      </c>
      <c r="S126">
        <f>IF(M126="Y",J126*K126*Escalation!$B$3,0)</f>
        <v/>
      </c>
      <c r="T126">
        <f>IF(N126="Y",J126*K126*Escalation!$B$4,0)</f>
        <v/>
      </c>
      <c r="U126">
        <f>IF(O126="Y",J126*K126*Escalation!$B$5,0)</f>
        <v/>
      </c>
      <c r="V126">
        <f>IF(P126="Y",J126*K126*Escalation!$B$6,0)</f>
        <v/>
      </c>
      <c r="W126">
        <f>IF(Q126="Y",J126*K126*Escalation!$B$7,0)</f>
        <v/>
      </c>
      <c r="X126">
        <f>SUM(R126:W126)</f>
        <v/>
      </c>
    </row>
    <row r="127">
      <c r="J127">
        <f>IF(C127="FTE",B127*1880,B127)</f>
        <v/>
      </c>
      <c r="K127">
        <f>E127*(1+F127)*(1+G127)*(1+H127)*(1+I127)</f>
        <v/>
      </c>
      <c r="R127">
        <f>IF(L127="Y",J127*K127*Escalation!$B$2,0)</f>
        <v/>
      </c>
      <c r="S127">
        <f>IF(M127="Y",J127*K127*Escalation!$B$3,0)</f>
        <v/>
      </c>
      <c r="T127">
        <f>IF(N127="Y",J127*K127*Escalation!$B$4,0)</f>
        <v/>
      </c>
      <c r="U127">
        <f>IF(O127="Y",J127*K127*Escalation!$B$5,0)</f>
        <v/>
      </c>
      <c r="V127">
        <f>IF(P127="Y",J127*K127*Escalation!$B$6,0)</f>
        <v/>
      </c>
      <c r="W127">
        <f>IF(Q127="Y",J127*K127*Escalation!$B$7,0)</f>
        <v/>
      </c>
      <c r="X127">
        <f>SUM(R127:W127)</f>
        <v/>
      </c>
    </row>
    <row r="128">
      <c r="J128">
        <f>IF(C128="FTE",B128*1880,B128)</f>
        <v/>
      </c>
      <c r="K128">
        <f>E128*(1+F128)*(1+G128)*(1+H128)*(1+I128)</f>
        <v/>
      </c>
      <c r="R128">
        <f>IF(L128="Y",J128*K128*Escalation!$B$2,0)</f>
        <v/>
      </c>
      <c r="S128">
        <f>IF(M128="Y",J128*K128*Escalation!$B$3,0)</f>
        <v/>
      </c>
      <c r="T128">
        <f>IF(N128="Y",J128*K128*Escalation!$B$4,0)</f>
        <v/>
      </c>
      <c r="U128">
        <f>IF(O128="Y",J128*K128*Escalation!$B$5,0)</f>
        <v/>
      </c>
      <c r="V128">
        <f>IF(P128="Y",J128*K128*Escalation!$B$6,0)</f>
        <v/>
      </c>
      <c r="W128">
        <f>IF(Q128="Y",J128*K128*Escalation!$B$7,0)</f>
        <v/>
      </c>
      <c r="X128">
        <f>SUM(R128:W128)</f>
        <v/>
      </c>
    </row>
    <row r="129">
      <c r="J129">
        <f>IF(C129="FTE",B129*1880,B129)</f>
        <v/>
      </c>
      <c r="K129">
        <f>E129*(1+F129)*(1+G129)*(1+H129)*(1+I129)</f>
        <v/>
      </c>
      <c r="R129">
        <f>IF(L129="Y",J129*K129*Escalation!$B$2,0)</f>
        <v/>
      </c>
      <c r="S129">
        <f>IF(M129="Y",J129*K129*Escalation!$B$3,0)</f>
        <v/>
      </c>
      <c r="T129">
        <f>IF(N129="Y",J129*K129*Escalation!$B$4,0)</f>
        <v/>
      </c>
      <c r="U129">
        <f>IF(O129="Y",J129*K129*Escalation!$B$5,0)</f>
        <v/>
      </c>
      <c r="V129">
        <f>IF(P129="Y",J129*K129*Escalation!$B$6,0)</f>
        <v/>
      </c>
      <c r="W129">
        <f>IF(Q129="Y",J129*K129*Escalation!$B$7,0)</f>
        <v/>
      </c>
      <c r="X129">
        <f>SUM(R129:W129)</f>
        <v/>
      </c>
    </row>
    <row r="130">
      <c r="J130">
        <f>IF(C130="FTE",B130*1880,B130)</f>
        <v/>
      </c>
      <c r="K130">
        <f>E130*(1+F130)*(1+G130)*(1+H130)*(1+I130)</f>
        <v/>
      </c>
      <c r="R130">
        <f>IF(L130="Y",J130*K130*Escalation!$B$2,0)</f>
        <v/>
      </c>
      <c r="S130">
        <f>IF(M130="Y",J130*K130*Escalation!$B$3,0)</f>
        <v/>
      </c>
      <c r="T130">
        <f>IF(N130="Y",J130*K130*Escalation!$B$4,0)</f>
        <v/>
      </c>
      <c r="U130">
        <f>IF(O130="Y",J130*K130*Escalation!$B$5,0)</f>
        <v/>
      </c>
      <c r="V130">
        <f>IF(P130="Y",J130*K130*Escalation!$B$6,0)</f>
        <v/>
      </c>
      <c r="W130">
        <f>IF(Q130="Y",J130*K130*Escalation!$B$7,0)</f>
        <v/>
      </c>
      <c r="X130">
        <f>SUM(R130:W130)</f>
        <v/>
      </c>
    </row>
    <row r="131">
      <c r="J131">
        <f>IF(C131="FTE",B131*1880,B131)</f>
        <v/>
      </c>
      <c r="K131">
        <f>E131*(1+F131)*(1+G131)*(1+H131)*(1+I131)</f>
        <v/>
      </c>
      <c r="R131">
        <f>IF(L131="Y",J131*K131*Escalation!$B$2,0)</f>
        <v/>
      </c>
      <c r="S131">
        <f>IF(M131="Y",J131*K131*Escalation!$B$3,0)</f>
        <v/>
      </c>
      <c r="T131">
        <f>IF(N131="Y",J131*K131*Escalation!$B$4,0)</f>
        <v/>
      </c>
      <c r="U131">
        <f>IF(O131="Y",J131*K131*Escalation!$B$5,0)</f>
        <v/>
      </c>
      <c r="V131">
        <f>IF(P131="Y",J131*K131*Escalation!$B$6,0)</f>
        <v/>
      </c>
      <c r="W131">
        <f>IF(Q131="Y",J131*K131*Escalation!$B$7,0)</f>
        <v/>
      </c>
      <c r="X131">
        <f>SUM(R131:W131)</f>
        <v/>
      </c>
    </row>
    <row r="132">
      <c r="J132">
        <f>IF(C132="FTE",B132*1880,B132)</f>
        <v/>
      </c>
      <c r="K132">
        <f>E132*(1+F132)*(1+G132)*(1+H132)*(1+I132)</f>
        <v/>
      </c>
      <c r="R132">
        <f>IF(L132="Y",J132*K132*Escalation!$B$2,0)</f>
        <v/>
      </c>
      <c r="S132">
        <f>IF(M132="Y",J132*K132*Escalation!$B$3,0)</f>
        <v/>
      </c>
      <c r="T132">
        <f>IF(N132="Y",J132*K132*Escalation!$B$4,0)</f>
        <v/>
      </c>
      <c r="U132">
        <f>IF(O132="Y",J132*K132*Escalation!$B$5,0)</f>
        <v/>
      </c>
      <c r="V132">
        <f>IF(P132="Y",J132*K132*Escalation!$B$6,0)</f>
        <v/>
      </c>
      <c r="W132">
        <f>IF(Q132="Y",J132*K132*Escalation!$B$7,0)</f>
        <v/>
      </c>
      <c r="X132">
        <f>SUM(R132:W132)</f>
        <v/>
      </c>
    </row>
    <row r="133">
      <c r="J133">
        <f>IF(C133="FTE",B133*1880,B133)</f>
        <v/>
      </c>
      <c r="K133">
        <f>E133*(1+F133)*(1+G133)*(1+H133)*(1+I133)</f>
        <v/>
      </c>
      <c r="R133">
        <f>IF(L133="Y",J133*K133*Escalation!$B$2,0)</f>
        <v/>
      </c>
      <c r="S133">
        <f>IF(M133="Y",J133*K133*Escalation!$B$3,0)</f>
        <v/>
      </c>
      <c r="T133">
        <f>IF(N133="Y",J133*K133*Escalation!$B$4,0)</f>
        <v/>
      </c>
      <c r="U133">
        <f>IF(O133="Y",J133*K133*Escalation!$B$5,0)</f>
        <v/>
      </c>
      <c r="V133">
        <f>IF(P133="Y",J133*K133*Escalation!$B$6,0)</f>
        <v/>
      </c>
      <c r="W133">
        <f>IF(Q133="Y",J133*K133*Escalation!$B$7,0)</f>
        <v/>
      </c>
      <c r="X133">
        <f>SUM(R133:W133)</f>
        <v/>
      </c>
    </row>
    <row r="134">
      <c r="J134">
        <f>IF(C134="FTE",B134*1880,B134)</f>
        <v/>
      </c>
      <c r="K134">
        <f>E134*(1+F134)*(1+G134)*(1+H134)*(1+I134)</f>
        <v/>
      </c>
      <c r="R134">
        <f>IF(L134="Y",J134*K134*Escalation!$B$2,0)</f>
        <v/>
      </c>
      <c r="S134">
        <f>IF(M134="Y",J134*K134*Escalation!$B$3,0)</f>
        <v/>
      </c>
      <c r="T134">
        <f>IF(N134="Y",J134*K134*Escalation!$B$4,0)</f>
        <v/>
      </c>
      <c r="U134">
        <f>IF(O134="Y",J134*K134*Escalation!$B$5,0)</f>
        <v/>
      </c>
      <c r="V134">
        <f>IF(P134="Y",J134*K134*Escalation!$B$6,0)</f>
        <v/>
      </c>
      <c r="W134">
        <f>IF(Q134="Y",J134*K134*Escalation!$B$7,0)</f>
        <v/>
      </c>
      <c r="X134">
        <f>SUM(R134:W134)</f>
        <v/>
      </c>
    </row>
    <row r="135">
      <c r="J135">
        <f>IF(C135="FTE",B135*1880,B135)</f>
        <v/>
      </c>
      <c r="K135">
        <f>E135*(1+F135)*(1+G135)*(1+H135)*(1+I135)</f>
        <v/>
      </c>
      <c r="R135">
        <f>IF(L135="Y",J135*K135*Escalation!$B$2,0)</f>
        <v/>
      </c>
      <c r="S135">
        <f>IF(M135="Y",J135*K135*Escalation!$B$3,0)</f>
        <v/>
      </c>
      <c r="T135">
        <f>IF(N135="Y",J135*K135*Escalation!$B$4,0)</f>
        <v/>
      </c>
      <c r="U135">
        <f>IF(O135="Y",J135*K135*Escalation!$B$5,0)</f>
        <v/>
      </c>
      <c r="V135">
        <f>IF(P135="Y",J135*K135*Escalation!$B$6,0)</f>
        <v/>
      </c>
      <c r="W135">
        <f>IF(Q135="Y",J135*K135*Escalation!$B$7,0)</f>
        <v/>
      </c>
      <c r="X135">
        <f>SUM(R135:W135)</f>
        <v/>
      </c>
    </row>
    <row r="136">
      <c r="J136">
        <f>IF(C136="FTE",B136*1880,B136)</f>
        <v/>
      </c>
      <c r="K136">
        <f>E136*(1+F136)*(1+G136)*(1+H136)*(1+I136)</f>
        <v/>
      </c>
      <c r="R136">
        <f>IF(L136="Y",J136*K136*Escalation!$B$2,0)</f>
        <v/>
      </c>
      <c r="S136">
        <f>IF(M136="Y",J136*K136*Escalation!$B$3,0)</f>
        <v/>
      </c>
      <c r="T136">
        <f>IF(N136="Y",J136*K136*Escalation!$B$4,0)</f>
        <v/>
      </c>
      <c r="U136">
        <f>IF(O136="Y",J136*K136*Escalation!$B$5,0)</f>
        <v/>
      </c>
      <c r="V136">
        <f>IF(P136="Y",J136*K136*Escalation!$B$6,0)</f>
        <v/>
      </c>
      <c r="W136">
        <f>IF(Q136="Y",J136*K136*Escalation!$B$7,0)</f>
        <v/>
      </c>
      <c r="X136">
        <f>SUM(R136:W136)</f>
        <v/>
      </c>
    </row>
    <row r="137">
      <c r="J137">
        <f>IF(C137="FTE",B137*1880,B137)</f>
        <v/>
      </c>
      <c r="K137">
        <f>E137*(1+F137)*(1+G137)*(1+H137)*(1+I137)</f>
        <v/>
      </c>
      <c r="R137">
        <f>IF(L137="Y",J137*K137*Escalation!$B$2,0)</f>
        <v/>
      </c>
      <c r="S137">
        <f>IF(M137="Y",J137*K137*Escalation!$B$3,0)</f>
        <v/>
      </c>
      <c r="T137">
        <f>IF(N137="Y",J137*K137*Escalation!$B$4,0)</f>
        <v/>
      </c>
      <c r="U137">
        <f>IF(O137="Y",J137*K137*Escalation!$B$5,0)</f>
        <v/>
      </c>
      <c r="V137">
        <f>IF(P137="Y",J137*K137*Escalation!$B$6,0)</f>
        <v/>
      </c>
      <c r="W137">
        <f>IF(Q137="Y",J137*K137*Escalation!$B$7,0)</f>
        <v/>
      </c>
      <c r="X137">
        <f>SUM(R137:W137)</f>
        <v/>
      </c>
    </row>
    <row r="138">
      <c r="J138">
        <f>IF(C138="FTE",B138*1880,B138)</f>
        <v/>
      </c>
      <c r="K138">
        <f>E138*(1+F138)*(1+G138)*(1+H138)*(1+I138)</f>
        <v/>
      </c>
      <c r="R138">
        <f>IF(L138="Y",J138*K138*Escalation!$B$2,0)</f>
        <v/>
      </c>
      <c r="S138">
        <f>IF(M138="Y",J138*K138*Escalation!$B$3,0)</f>
        <v/>
      </c>
      <c r="T138">
        <f>IF(N138="Y",J138*K138*Escalation!$B$4,0)</f>
        <v/>
      </c>
      <c r="U138">
        <f>IF(O138="Y",J138*K138*Escalation!$B$5,0)</f>
        <v/>
      </c>
      <c r="V138">
        <f>IF(P138="Y",J138*K138*Escalation!$B$6,0)</f>
        <v/>
      </c>
      <c r="W138">
        <f>IF(Q138="Y",J138*K138*Escalation!$B$7,0)</f>
        <v/>
      </c>
      <c r="X138">
        <f>SUM(R138:W138)</f>
        <v/>
      </c>
    </row>
    <row r="139">
      <c r="J139">
        <f>IF(C139="FTE",B139*1880,B139)</f>
        <v/>
      </c>
      <c r="K139">
        <f>E139*(1+F139)*(1+G139)*(1+H139)*(1+I139)</f>
        <v/>
      </c>
      <c r="R139">
        <f>IF(L139="Y",J139*K139*Escalation!$B$2,0)</f>
        <v/>
      </c>
      <c r="S139">
        <f>IF(M139="Y",J139*K139*Escalation!$B$3,0)</f>
        <v/>
      </c>
      <c r="T139">
        <f>IF(N139="Y",J139*K139*Escalation!$B$4,0)</f>
        <v/>
      </c>
      <c r="U139">
        <f>IF(O139="Y",J139*K139*Escalation!$B$5,0)</f>
        <v/>
      </c>
      <c r="V139">
        <f>IF(P139="Y",J139*K139*Escalation!$B$6,0)</f>
        <v/>
      </c>
      <c r="W139">
        <f>IF(Q139="Y",J139*K139*Escalation!$B$7,0)</f>
        <v/>
      </c>
      <c r="X139">
        <f>SUM(R139:W139)</f>
        <v/>
      </c>
    </row>
    <row r="140">
      <c r="J140">
        <f>IF(C140="FTE",B140*1880,B140)</f>
        <v/>
      </c>
      <c r="K140">
        <f>E140*(1+F140)*(1+G140)*(1+H140)*(1+I140)</f>
        <v/>
      </c>
      <c r="R140">
        <f>IF(L140="Y",J140*K140*Escalation!$B$2,0)</f>
        <v/>
      </c>
      <c r="S140">
        <f>IF(M140="Y",J140*K140*Escalation!$B$3,0)</f>
        <v/>
      </c>
      <c r="T140">
        <f>IF(N140="Y",J140*K140*Escalation!$B$4,0)</f>
        <v/>
      </c>
      <c r="U140">
        <f>IF(O140="Y",J140*K140*Escalation!$B$5,0)</f>
        <v/>
      </c>
      <c r="V140">
        <f>IF(P140="Y",J140*K140*Escalation!$B$6,0)</f>
        <v/>
      </c>
      <c r="W140">
        <f>IF(Q140="Y",J140*K140*Escalation!$B$7,0)</f>
        <v/>
      </c>
      <c r="X140">
        <f>SUM(R140:W140)</f>
        <v/>
      </c>
    </row>
    <row r="141">
      <c r="J141">
        <f>IF(C141="FTE",B141*1880,B141)</f>
        <v/>
      </c>
      <c r="K141">
        <f>E141*(1+F141)*(1+G141)*(1+H141)*(1+I141)</f>
        <v/>
      </c>
      <c r="R141">
        <f>IF(L141="Y",J141*K141*Escalation!$B$2,0)</f>
        <v/>
      </c>
      <c r="S141">
        <f>IF(M141="Y",J141*K141*Escalation!$B$3,0)</f>
        <v/>
      </c>
      <c r="T141">
        <f>IF(N141="Y",J141*K141*Escalation!$B$4,0)</f>
        <v/>
      </c>
      <c r="U141">
        <f>IF(O141="Y",J141*K141*Escalation!$B$5,0)</f>
        <v/>
      </c>
      <c r="V141">
        <f>IF(P141="Y",J141*K141*Escalation!$B$6,0)</f>
        <v/>
      </c>
      <c r="W141">
        <f>IF(Q141="Y",J141*K141*Escalation!$B$7,0)</f>
        <v/>
      </c>
      <c r="X141">
        <f>SUM(R141:W141)</f>
        <v/>
      </c>
    </row>
    <row r="142">
      <c r="J142">
        <f>IF(C142="FTE",B142*1880,B142)</f>
        <v/>
      </c>
      <c r="K142">
        <f>E142*(1+F142)*(1+G142)*(1+H142)*(1+I142)</f>
        <v/>
      </c>
      <c r="R142">
        <f>IF(L142="Y",J142*K142*Escalation!$B$2,0)</f>
        <v/>
      </c>
      <c r="S142">
        <f>IF(M142="Y",J142*K142*Escalation!$B$3,0)</f>
        <v/>
      </c>
      <c r="T142">
        <f>IF(N142="Y",J142*K142*Escalation!$B$4,0)</f>
        <v/>
      </c>
      <c r="U142">
        <f>IF(O142="Y",J142*K142*Escalation!$B$5,0)</f>
        <v/>
      </c>
      <c r="V142">
        <f>IF(P142="Y",J142*K142*Escalation!$B$6,0)</f>
        <v/>
      </c>
      <c r="W142">
        <f>IF(Q142="Y",J142*K142*Escalation!$B$7,0)</f>
        <v/>
      </c>
      <c r="X142">
        <f>SUM(R142:W142)</f>
        <v/>
      </c>
    </row>
    <row r="143">
      <c r="J143">
        <f>IF(C143="FTE",B143*1880,B143)</f>
        <v/>
      </c>
      <c r="K143">
        <f>E143*(1+F143)*(1+G143)*(1+H143)*(1+I143)</f>
        <v/>
      </c>
      <c r="R143">
        <f>IF(L143="Y",J143*K143*Escalation!$B$2,0)</f>
        <v/>
      </c>
      <c r="S143">
        <f>IF(M143="Y",J143*K143*Escalation!$B$3,0)</f>
        <v/>
      </c>
      <c r="T143">
        <f>IF(N143="Y",J143*K143*Escalation!$B$4,0)</f>
        <v/>
      </c>
      <c r="U143">
        <f>IF(O143="Y",J143*K143*Escalation!$B$5,0)</f>
        <v/>
      </c>
      <c r="V143">
        <f>IF(P143="Y",J143*K143*Escalation!$B$6,0)</f>
        <v/>
      </c>
      <c r="W143">
        <f>IF(Q143="Y",J143*K143*Escalation!$B$7,0)</f>
        <v/>
      </c>
      <c r="X143">
        <f>SUM(R143:W143)</f>
        <v/>
      </c>
    </row>
    <row r="144">
      <c r="J144">
        <f>IF(C144="FTE",B144*1880,B144)</f>
        <v/>
      </c>
      <c r="K144">
        <f>E144*(1+F144)*(1+G144)*(1+H144)*(1+I144)</f>
        <v/>
      </c>
      <c r="R144">
        <f>IF(L144="Y",J144*K144*Escalation!$B$2,0)</f>
        <v/>
      </c>
      <c r="S144">
        <f>IF(M144="Y",J144*K144*Escalation!$B$3,0)</f>
        <v/>
      </c>
      <c r="T144">
        <f>IF(N144="Y",J144*K144*Escalation!$B$4,0)</f>
        <v/>
      </c>
      <c r="U144">
        <f>IF(O144="Y",J144*K144*Escalation!$B$5,0)</f>
        <v/>
      </c>
      <c r="V144">
        <f>IF(P144="Y",J144*K144*Escalation!$B$6,0)</f>
        <v/>
      </c>
      <c r="W144">
        <f>IF(Q144="Y",J144*K144*Escalation!$B$7,0)</f>
        <v/>
      </c>
      <c r="X144">
        <f>SUM(R144:W144)</f>
        <v/>
      </c>
    </row>
    <row r="145">
      <c r="J145">
        <f>IF(C145="FTE",B145*1880,B145)</f>
        <v/>
      </c>
      <c r="K145">
        <f>E145*(1+F145)*(1+G145)*(1+H145)*(1+I145)</f>
        <v/>
      </c>
      <c r="R145">
        <f>IF(L145="Y",J145*K145*Escalation!$B$2,0)</f>
        <v/>
      </c>
      <c r="S145">
        <f>IF(M145="Y",J145*K145*Escalation!$B$3,0)</f>
        <v/>
      </c>
      <c r="T145">
        <f>IF(N145="Y",J145*K145*Escalation!$B$4,0)</f>
        <v/>
      </c>
      <c r="U145">
        <f>IF(O145="Y",J145*K145*Escalation!$B$5,0)</f>
        <v/>
      </c>
      <c r="V145">
        <f>IF(P145="Y",J145*K145*Escalation!$B$6,0)</f>
        <v/>
      </c>
      <c r="W145">
        <f>IF(Q145="Y",J145*K145*Escalation!$B$7,0)</f>
        <v/>
      </c>
      <c r="X145">
        <f>SUM(R145:W145)</f>
        <v/>
      </c>
    </row>
    <row r="146">
      <c r="J146">
        <f>IF(C146="FTE",B146*1880,B146)</f>
        <v/>
      </c>
      <c r="K146">
        <f>E146*(1+F146)*(1+G146)*(1+H146)*(1+I146)</f>
        <v/>
      </c>
      <c r="R146">
        <f>IF(L146="Y",J146*K146*Escalation!$B$2,0)</f>
        <v/>
      </c>
      <c r="S146">
        <f>IF(M146="Y",J146*K146*Escalation!$B$3,0)</f>
        <v/>
      </c>
      <c r="T146">
        <f>IF(N146="Y",J146*K146*Escalation!$B$4,0)</f>
        <v/>
      </c>
      <c r="U146">
        <f>IF(O146="Y",J146*K146*Escalation!$B$5,0)</f>
        <v/>
      </c>
      <c r="V146">
        <f>IF(P146="Y",J146*K146*Escalation!$B$6,0)</f>
        <v/>
      </c>
      <c r="W146">
        <f>IF(Q146="Y",J146*K146*Escalation!$B$7,0)</f>
        <v/>
      </c>
      <c r="X146">
        <f>SUM(R146:W146)</f>
        <v/>
      </c>
    </row>
    <row r="147">
      <c r="J147">
        <f>IF(C147="FTE",B147*1880,B147)</f>
        <v/>
      </c>
      <c r="K147">
        <f>E147*(1+F147)*(1+G147)*(1+H147)*(1+I147)</f>
        <v/>
      </c>
      <c r="R147">
        <f>IF(L147="Y",J147*K147*Escalation!$B$2,0)</f>
        <v/>
      </c>
      <c r="S147">
        <f>IF(M147="Y",J147*K147*Escalation!$B$3,0)</f>
        <v/>
      </c>
      <c r="T147">
        <f>IF(N147="Y",J147*K147*Escalation!$B$4,0)</f>
        <v/>
      </c>
      <c r="U147">
        <f>IF(O147="Y",J147*K147*Escalation!$B$5,0)</f>
        <v/>
      </c>
      <c r="V147">
        <f>IF(P147="Y",J147*K147*Escalation!$B$6,0)</f>
        <v/>
      </c>
      <c r="W147">
        <f>IF(Q147="Y",J147*K147*Escalation!$B$7,0)</f>
        <v/>
      </c>
      <c r="X147">
        <f>SUM(R147:W147)</f>
        <v/>
      </c>
    </row>
    <row r="148">
      <c r="J148">
        <f>IF(C148="FTE",B148*1880,B148)</f>
        <v/>
      </c>
      <c r="K148">
        <f>E148*(1+F148)*(1+G148)*(1+H148)*(1+I148)</f>
        <v/>
      </c>
      <c r="R148">
        <f>IF(L148="Y",J148*K148*Escalation!$B$2,0)</f>
        <v/>
      </c>
      <c r="S148">
        <f>IF(M148="Y",J148*K148*Escalation!$B$3,0)</f>
        <v/>
      </c>
      <c r="T148">
        <f>IF(N148="Y",J148*K148*Escalation!$B$4,0)</f>
        <v/>
      </c>
      <c r="U148">
        <f>IF(O148="Y",J148*K148*Escalation!$B$5,0)</f>
        <v/>
      </c>
      <c r="V148">
        <f>IF(P148="Y",J148*K148*Escalation!$B$6,0)</f>
        <v/>
      </c>
      <c r="W148">
        <f>IF(Q148="Y",J148*K148*Escalation!$B$7,0)</f>
        <v/>
      </c>
      <c r="X148">
        <f>SUM(R148:W148)</f>
        <v/>
      </c>
    </row>
    <row r="149">
      <c r="J149">
        <f>IF(C149="FTE",B149*1880,B149)</f>
        <v/>
      </c>
      <c r="K149">
        <f>E149*(1+F149)*(1+G149)*(1+H149)*(1+I149)</f>
        <v/>
      </c>
      <c r="R149">
        <f>IF(L149="Y",J149*K149*Escalation!$B$2,0)</f>
        <v/>
      </c>
      <c r="S149">
        <f>IF(M149="Y",J149*K149*Escalation!$B$3,0)</f>
        <v/>
      </c>
      <c r="T149">
        <f>IF(N149="Y",J149*K149*Escalation!$B$4,0)</f>
        <v/>
      </c>
      <c r="U149">
        <f>IF(O149="Y",J149*K149*Escalation!$B$5,0)</f>
        <v/>
      </c>
      <c r="V149">
        <f>IF(P149="Y",J149*K149*Escalation!$B$6,0)</f>
        <v/>
      </c>
      <c r="W149">
        <f>IF(Q149="Y",J149*K149*Escalation!$B$7,0)</f>
        <v/>
      </c>
      <c r="X149">
        <f>SUM(R149:W149)</f>
        <v/>
      </c>
    </row>
    <row r="150">
      <c r="J150">
        <f>IF(C150="FTE",B150*1880,B150)</f>
        <v/>
      </c>
      <c r="K150">
        <f>E150*(1+F150)*(1+G150)*(1+H150)*(1+I150)</f>
        <v/>
      </c>
      <c r="R150">
        <f>IF(L150="Y",J150*K150*Escalation!$B$2,0)</f>
        <v/>
      </c>
      <c r="S150">
        <f>IF(M150="Y",J150*K150*Escalation!$B$3,0)</f>
        <v/>
      </c>
      <c r="T150">
        <f>IF(N150="Y",J150*K150*Escalation!$B$4,0)</f>
        <v/>
      </c>
      <c r="U150">
        <f>IF(O150="Y",J150*K150*Escalation!$B$5,0)</f>
        <v/>
      </c>
      <c r="V150">
        <f>IF(P150="Y",J150*K150*Escalation!$B$6,0)</f>
        <v/>
      </c>
      <c r="W150">
        <f>IF(Q150="Y",J150*K150*Escalation!$B$7,0)</f>
        <v/>
      </c>
      <c r="X150">
        <f>SUM(R150:W150)</f>
        <v/>
      </c>
    </row>
    <row r="151">
      <c r="J151">
        <f>IF(C151="FTE",B151*1880,B151)</f>
        <v/>
      </c>
      <c r="K151">
        <f>E151*(1+F151)*(1+G151)*(1+H151)*(1+I151)</f>
        <v/>
      </c>
      <c r="R151">
        <f>IF(L151="Y",J151*K151*Escalation!$B$2,0)</f>
        <v/>
      </c>
      <c r="S151">
        <f>IF(M151="Y",J151*K151*Escalation!$B$3,0)</f>
        <v/>
      </c>
      <c r="T151">
        <f>IF(N151="Y",J151*K151*Escalation!$B$4,0)</f>
        <v/>
      </c>
      <c r="U151">
        <f>IF(O151="Y",J151*K151*Escalation!$B$5,0)</f>
        <v/>
      </c>
      <c r="V151">
        <f>IF(P151="Y",J151*K151*Escalation!$B$6,0)</f>
        <v/>
      </c>
      <c r="W151">
        <f>IF(Q151="Y",J151*K151*Escalation!$B$7,0)</f>
        <v/>
      </c>
      <c r="X151">
        <f>SUM(R151:W151)</f>
        <v/>
      </c>
    </row>
    <row r="152">
      <c r="J152">
        <f>IF(C152="FTE",B152*1880,B152)</f>
        <v/>
      </c>
      <c r="K152">
        <f>E152*(1+F152)*(1+G152)*(1+H152)*(1+I152)</f>
        <v/>
      </c>
      <c r="R152">
        <f>IF(L152="Y",J152*K152*Escalation!$B$2,0)</f>
        <v/>
      </c>
      <c r="S152">
        <f>IF(M152="Y",J152*K152*Escalation!$B$3,0)</f>
        <v/>
      </c>
      <c r="T152">
        <f>IF(N152="Y",J152*K152*Escalation!$B$4,0)</f>
        <v/>
      </c>
      <c r="U152">
        <f>IF(O152="Y",J152*K152*Escalation!$B$5,0)</f>
        <v/>
      </c>
      <c r="V152">
        <f>IF(P152="Y",J152*K152*Escalation!$B$6,0)</f>
        <v/>
      </c>
      <c r="W152">
        <f>IF(Q152="Y",J152*K152*Escalation!$B$7,0)</f>
        <v/>
      </c>
      <c r="X152">
        <f>SUM(R152:W152)</f>
        <v/>
      </c>
    </row>
    <row r="153">
      <c r="J153">
        <f>IF(C153="FTE",B153*1880,B153)</f>
        <v/>
      </c>
      <c r="K153">
        <f>E153*(1+F153)*(1+G153)*(1+H153)*(1+I153)</f>
        <v/>
      </c>
      <c r="R153">
        <f>IF(L153="Y",J153*K153*Escalation!$B$2,0)</f>
        <v/>
      </c>
      <c r="S153">
        <f>IF(M153="Y",J153*K153*Escalation!$B$3,0)</f>
        <v/>
      </c>
      <c r="T153">
        <f>IF(N153="Y",J153*K153*Escalation!$B$4,0)</f>
        <v/>
      </c>
      <c r="U153">
        <f>IF(O153="Y",J153*K153*Escalation!$B$5,0)</f>
        <v/>
      </c>
      <c r="V153">
        <f>IF(P153="Y",J153*K153*Escalation!$B$6,0)</f>
        <v/>
      </c>
      <c r="W153">
        <f>IF(Q153="Y",J153*K153*Escalation!$B$7,0)</f>
        <v/>
      </c>
      <c r="X153">
        <f>SUM(R153:W153)</f>
        <v/>
      </c>
    </row>
    <row r="154">
      <c r="J154">
        <f>IF(C154="FTE",B154*1880,B154)</f>
        <v/>
      </c>
      <c r="K154">
        <f>E154*(1+F154)*(1+G154)*(1+H154)*(1+I154)</f>
        <v/>
      </c>
      <c r="R154">
        <f>IF(L154="Y",J154*K154*Escalation!$B$2,0)</f>
        <v/>
      </c>
      <c r="S154">
        <f>IF(M154="Y",J154*K154*Escalation!$B$3,0)</f>
        <v/>
      </c>
      <c r="T154">
        <f>IF(N154="Y",J154*K154*Escalation!$B$4,0)</f>
        <v/>
      </c>
      <c r="U154">
        <f>IF(O154="Y",J154*K154*Escalation!$B$5,0)</f>
        <v/>
      </c>
      <c r="V154">
        <f>IF(P154="Y",J154*K154*Escalation!$B$6,0)</f>
        <v/>
      </c>
      <c r="W154">
        <f>IF(Q154="Y",J154*K154*Escalation!$B$7,0)</f>
        <v/>
      </c>
      <c r="X154">
        <f>SUM(R154:W154)</f>
        <v/>
      </c>
    </row>
    <row r="155">
      <c r="J155">
        <f>IF(C155="FTE",B155*1880,B155)</f>
        <v/>
      </c>
      <c r="K155">
        <f>E155*(1+F155)*(1+G155)*(1+H155)*(1+I155)</f>
        <v/>
      </c>
      <c r="R155">
        <f>IF(L155="Y",J155*K155*Escalation!$B$2,0)</f>
        <v/>
      </c>
      <c r="S155">
        <f>IF(M155="Y",J155*K155*Escalation!$B$3,0)</f>
        <v/>
      </c>
      <c r="T155">
        <f>IF(N155="Y",J155*K155*Escalation!$B$4,0)</f>
        <v/>
      </c>
      <c r="U155">
        <f>IF(O155="Y",J155*K155*Escalation!$B$5,0)</f>
        <v/>
      </c>
      <c r="V155">
        <f>IF(P155="Y",J155*K155*Escalation!$B$6,0)</f>
        <v/>
      </c>
      <c r="W155">
        <f>IF(Q155="Y",J155*K155*Escalation!$B$7,0)</f>
        <v/>
      </c>
      <c r="X155">
        <f>SUM(R155:W155)</f>
        <v/>
      </c>
    </row>
    <row r="156">
      <c r="J156">
        <f>IF(C156="FTE",B156*1880,B156)</f>
        <v/>
      </c>
      <c r="K156">
        <f>E156*(1+F156)*(1+G156)*(1+H156)*(1+I156)</f>
        <v/>
      </c>
      <c r="R156">
        <f>IF(L156="Y",J156*K156*Escalation!$B$2,0)</f>
        <v/>
      </c>
      <c r="S156">
        <f>IF(M156="Y",J156*K156*Escalation!$B$3,0)</f>
        <v/>
      </c>
      <c r="T156">
        <f>IF(N156="Y",J156*K156*Escalation!$B$4,0)</f>
        <v/>
      </c>
      <c r="U156">
        <f>IF(O156="Y",J156*K156*Escalation!$B$5,0)</f>
        <v/>
      </c>
      <c r="V156">
        <f>IF(P156="Y",J156*K156*Escalation!$B$6,0)</f>
        <v/>
      </c>
      <c r="W156">
        <f>IF(Q156="Y",J156*K156*Escalation!$B$7,0)</f>
        <v/>
      </c>
      <c r="X156">
        <f>SUM(R156:W156)</f>
        <v/>
      </c>
    </row>
    <row r="157">
      <c r="J157">
        <f>IF(C157="FTE",B157*1880,B157)</f>
        <v/>
      </c>
      <c r="K157">
        <f>E157*(1+F157)*(1+G157)*(1+H157)*(1+I157)</f>
        <v/>
      </c>
      <c r="R157">
        <f>IF(L157="Y",J157*K157*Escalation!$B$2,0)</f>
        <v/>
      </c>
      <c r="S157">
        <f>IF(M157="Y",J157*K157*Escalation!$B$3,0)</f>
        <v/>
      </c>
      <c r="T157">
        <f>IF(N157="Y",J157*K157*Escalation!$B$4,0)</f>
        <v/>
      </c>
      <c r="U157">
        <f>IF(O157="Y",J157*K157*Escalation!$B$5,0)</f>
        <v/>
      </c>
      <c r="V157">
        <f>IF(P157="Y",J157*K157*Escalation!$B$6,0)</f>
        <v/>
      </c>
      <c r="W157">
        <f>IF(Q157="Y",J157*K157*Escalation!$B$7,0)</f>
        <v/>
      </c>
      <c r="X157">
        <f>SUM(R157:W157)</f>
        <v/>
      </c>
    </row>
    <row r="158">
      <c r="J158">
        <f>IF(C158="FTE",B158*1880,B158)</f>
        <v/>
      </c>
      <c r="K158">
        <f>E158*(1+F158)*(1+G158)*(1+H158)*(1+I158)</f>
        <v/>
      </c>
      <c r="R158">
        <f>IF(L158="Y",J158*K158*Escalation!$B$2,0)</f>
        <v/>
      </c>
      <c r="S158">
        <f>IF(M158="Y",J158*K158*Escalation!$B$3,0)</f>
        <v/>
      </c>
      <c r="T158">
        <f>IF(N158="Y",J158*K158*Escalation!$B$4,0)</f>
        <v/>
      </c>
      <c r="U158">
        <f>IF(O158="Y",J158*K158*Escalation!$B$5,0)</f>
        <v/>
      </c>
      <c r="V158">
        <f>IF(P158="Y",J158*K158*Escalation!$B$6,0)</f>
        <v/>
      </c>
      <c r="W158">
        <f>IF(Q158="Y",J158*K158*Escalation!$B$7,0)</f>
        <v/>
      </c>
      <c r="X158">
        <f>SUM(R158:W158)</f>
        <v/>
      </c>
    </row>
    <row r="159">
      <c r="J159">
        <f>IF(C159="FTE",B159*1880,B159)</f>
        <v/>
      </c>
      <c r="K159">
        <f>E159*(1+F159)*(1+G159)*(1+H159)*(1+I159)</f>
        <v/>
      </c>
      <c r="R159">
        <f>IF(L159="Y",J159*K159*Escalation!$B$2,0)</f>
        <v/>
      </c>
      <c r="S159">
        <f>IF(M159="Y",J159*K159*Escalation!$B$3,0)</f>
        <v/>
      </c>
      <c r="T159">
        <f>IF(N159="Y",J159*K159*Escalation!$B$4,0)</f>
        <v/>
      </c>
      <c r="U159">
        <f>IF(O159="Y",J159*K159*Escalation!$B$5,0)</f>
        <v/>
      </c>
      <c r="V159">
        <f>IF(P159="Y",J159*K159*Escalation!$B$6,0)</f>
        <v/>
      </c>
      <c r="W159">
        <f>IF(Q159="Y",J159*K159*Escalation!$B$7,0)</f>
        <v/>
      </c>
      <c r="X159">
        <f>SUM(R159:W159)</f>
        <v/>
      </c>
    </row>
    <row r="160">
      <c r="J160">
        <f>IF(C160="FTE",B160*1880,B160)</f>
        <v/>
      </c>
      <c r="K160">
        <f>E160*(1+F160)*(1+G160)*(1+H160)*(1+I160)</f>
        <v/>
      </c>
      <c r="R160">
        <f>IF(L160="Y",J160*K160*Escalation!$B$2,0)</f>
        <v/>
      </c>
      <c r="S160">
        <f>IF(M160="Y",J160*K160*Escalation!$B$3,0)</f>
        <v/>
      </c>
      <c r="T160">
        <f>IF(N160="Y",J160*K160*Escalation!$B$4,0)</f>
        <v/>
      </c>
      <c r="U160">
        <f>IF(O160="Y",J160*K160*Escalation!$B$5,0)</f>
        <v/>
      </c>
      <c r="V160">
        <f>IF(P160="Y",J160*K160*Escalation!$B$6,0)</f>
        <v/>
      </c>
      <c r="W160">
        <f>IF(Q160="Y",J160*K160*Escalation!$B$7,0)</f>
        <v/>
      </c>
      <c r="X160">
        <f>SUM(R160:W160)</f>
        <v/>
      </c>
    </row>
    <row r="161">
      <c r="J161">
        <f>IF(C161="FTE",B161*1880,B161)</f>
        <v/>
      </c>
      <c r="K161">
        <f>E161*(1+F161)*(1+G161)*(1+H161)*(1+I161)</f>
        <v/>
      </c>
      <c r="R161">
        <f>IF(L161="Y",J161*K161*Escalation!$B$2,0)</f>
        <v/>
      </c>
      <c r="S161">
        <f>IF(M161="Y",J161*K161*Escalation!$B$3,0)</f>
        <v/>
      </c>
      <c r="T161">
        <f>IF(N161="Y",J161*K161*Escalation!$B$4,0)</f>
        <v/>
      </c>
      <c r="U161">
        <f>IF(O161="Y",J161*K161*Escalation!$B$5,0)</f>
        <v/>
      </c>
      <c r="V161">
        <f>IF(P161="Y",J161*K161*Escalation!$B$6,0)</f>
        <v/>
      </c>
      <c r="W161">
        <f>IF(Q161="Y",J161*K161*Escalation!$B$7,0)</f>
        <v/>
      </c>
      <c r="X161">
        <f>SUM(R161:W161)</f>
        <v/>
      </c>
    </row>
    <row r="162">
      <c r="J162">
        <f>IF(C162="FTE",B162*1880,B162)</f>
        <v/>
      </c>
      <c r="K162">
        <f>E162*(1+F162)*(1+G162)*(1+H162)*(1+I162)</f>
        <v/>
      </c>
      <c r="R162">
        <f>IF(L162="Y",J162*K162*Escalation!$B$2,0)</f>
        <v/>
      </c>
      <c r="S162">
        <f>IF(M162="Y",J162*K162*Escalation!$B$3,0)</f>
        <v/>
      </c>
      <c r="T162">
        <f>IF(N162="Y",J162*K162*Escalation!$B$4,0)</f>
        <v/>
      </c>
      <c r="U162">
        <f>IF(O162="Y",J162*K162*Escalation!$B$5,0)</f>
        <v/>
      </c>
      <c r="V162">
        <f>IF(P162="Y",J162*K162*Escalation!$B$6,0)</f>
        <v/>
      </c>
      <c r="W162">
        <f>IF(Q162="Y",J162*K162*Escalation!$B$7,0)</f>
        <v/>
      </c>
      <c r="X162">
        <f>SUM(R162:W162)</f>
        <v/>
      </c>
    </row>
    <row r="163">
      <c r="J163">
        <f>IF(C163="FTE",B163*1880,B163)</f>
        <v/>
      </c>
      <c r="K163">
        <f>E163*(1+F163)*(1+G163)*(1+H163)*(1+I163)</f>
        <v/>
      </c>
      <c r="R163">
        <f>IF(L163="Y",J163*K163*Escalation!$B$2,0)</f>
        <v/>
      </c>
      <c r="S163">
        <f>IF(M163="Y",J163*K163*Escalation!$B$3,0)</f>
        <v/>
      </c>
      <c r="T163">
        <f>IF(N163="Y",J163*K163*Escalation!$B$4,0)</f>
        <v/>
      </c>
      <c r="U163">
        <f>IF(O163="Y",J163*K163*Escalation!$B$5,0)</f>
        <v/>
      </c>
      <c r="V163">
        <f>IF(P163="Y",J163*K163*Escalation!$B$6,0)</f>
        <v/>
      </c>
      <c r="W163">
        <f>IF(Q163="Y",J163*K163*Escalation!$B$7,0)</f>
        <v/>
      </c>
      <c r="X163">
        <f>SUM(R163:W163)</f>
        <v/>
      </c>
    </row>
    <row r="164">
      <c r="J164">
        <f>IF(C164="FTE",B164*1880,B164)</f>
        <v/>
      </c>
      <c r="K164">
        <f>E164*(1+F164)*(1+G164)*(1+H164)*(1+I164)</f>
        <v/>
      </c>
      <c r="R164">
        <f>IF(L164="Y",J164*K164*Escalation!$B$2,0)</f>
        <v/>
      </c>
      <c r="S164">
        <f>IF(M164="Y",J164*K164*Escalation!$B$3,0)</f>
        <v/>
      </c>
      <c r="T164">
        <f>IF(N164="Y",J164*K164*Escalation!$B$4,0)</f>
        <v/>
      </c>
      <c r="U164">
        <f>IF(O164="Y",J164*K164*Escalation!$B$5,0)</f>
        <v/>
      </c>
      <c r="V164">
        <f>IF(P164="Y",J164*K164*Escalation!$B$6,0)</f>
        <v/>
      </c>
      <c r="W164">
        <f>IF(Q164="Y",J164*K164*Escalation!$B$7,0)</f>
        <v/>
      </c>
      <c r="X164">
        <f>SUM(R164:W164)</f>
        <v/>
      </c>
    </row>
    <row r="165">
      <c r="J165">
        <f>IF(C165="FTE",B165*1880,B165)</f>
        <v/>
      </c>
      <c r="K165">
        <f>E165*(1+F165)*(1+G165)*(1+H165)*(1+I165)</f>
        <v/>
      </c>
      <c r="R165">
        <f>IF(L165="Y",J165*K165*Escalation!$B$2,0)</f>
        <v/>
      </c>
      <c r="S165">
        <f>IF(M165="Y",J165*K165*Escalation!$B$3,0)</f>
        <v/>
      </c>
      <c r="T165">
        <f>IF(N165="Y",J165*K165*Escalation!$B$4,0)</f>
        <v/>
      </c>
      <c r="U165">
        <f>IF(O165="Y",J165*K165*Escalation!$B$5,0)</f>
        <v/>
      </c>
      <c r="V165">
        <f>IF(P165="Y",J165*K165*Escalation!$B$6,0)</f>
        <v/>
      </c>
      <c r="W165">
        <f>IF(Q165="Y",J165*K165*Escalation!$B$7,0)</f>
        <v/>
      </c>
      <c r="X165">
        <f>SUM(R165:W165)</f>
        <v/>
      </c>
    </row>
    <row r="166">
      <c r="J166">
        <f>IF(C166="FTE",B166*1880,B166)</f>
        <v/>
      </c>
      <c r="K166">
        <f>E166*(1+F166)*(1+G166)*(1+H166)*(1+I166)</f>
        <v/>
      </c>
      <c r="R166">
        <f>IF(L166="Y",J166*K166*Escalation!$B$2,0)</f>
        <v/>
      </c>
      <c r="S166">
        <f>IF(M166="Y",J166*K166*Escalation!$B$3,0)</f>
        <v/>
      </c>
      <c r="T166">
        <f>IF(N166="Y",J166*K166*Escalation!$B$4,0)</f>
        <v/>
      </c>
      <c r="U166">
        <f>IF(O166="Y",J166*K166*Escalation!$B$5,0)</f>
        <v/>
      </c>
      <c r="V166">
        <f>IF(P166="Y",J166*K166*Escalation!$B$6,0)</f>
        <v/>
      </c>
      <c r="W166">
        <f>IF(Q166="Y",J166*K166*Escalation!$B$7,0)</f>
        <v/>
      </c>
      <c r="X166">
        <f>SUM(R166:W166)</f>
        <v/>
      </c>
    </row>
    <row r="167">
      <c r="J167">
        <f>IF(C167="FTE",B167*1880,B167)</f>
        <v/>
      </c>
      <c r="K167">
        <f>E167*(1+F167)*(1+G167)*(1+H167)*(1+I167)</f>
        <v/>
      </c>
      <c r="R167">
        <f>IF(L167="Y",J167*K167*Escalation!$B$2,0)</f>
        <v/>
      </c>
      <c r="S167">
        <f>IF(M167="Y",J167*K167*Escalation!$B$3,0)</f>
        <v/>
      </c>
      <c r="T167">
        <f>IF(N167="Y",J167*K167*Escalation!$B$4,0)</f>
        <v/>
      </c>
      <c r="U167">
        <f>IF(O167="Y",J167*K167*Escalation!$B$5,0)</f>
        <v/>
      </c>
      <c r="V167">
        <f>IF(P167="Y",J167*K167*Escalation!$B$6,0)</f>
        <v/>
      </c>
      <c r="W167">
        <f>IF(Q167="Y",J167*K167*Escalation!$B$7,0)</f>
        <v/>
      </c>
      <c r="X167">
        <f>SUM(R167:W167)</f>
        <v/>
      </c>
    </row>
    <row r="168">
      <c r="J168">
        <f>IF(C168="FTE",B168*1880,B168)</f>
        <v/>
      </c>
      <c r="K168">
        <f>E168*(1+F168)*(1+G168)*(1+H168)*(1+I168)</f>
        <v/>
      </c>
      <c r="R168">
        <f>IF(L168="Y",J168*K168*Escalation!$B$2,0)</f>
        <v/>
      </c>
      <c r="S168">
        <f>IF(M168="Y",J168*K168*Escalation!$B$3,0)</f>
        <v/>
      </c>
      <c r="T168">
        <f>IF(N168="Y",J168*K168*Escalation!$B$4,0)</f>
        <v/>
      </c>
      <c r="U168">
        <f>IF(O168="Y",J168*K168*Escalation!$B$5,0)</f>
        <v/>
      </c>
      <c r="V168">
        <f>IF(P168="Y",J168*K168*Escalation!$B$6,0)</f>
        <v/>
      </c>
      <c r="W168">
        <f>IF(Q168="Y",J168*K168*Escalation!$B$7,0)</f>
        <v/>
      </c>
      <c r="X168">
        <f>SUM(R168:W168)</f>
        <v/>
      </c>
    </row>
    <row r="169">
      <c r="J169">
        <f>IF(C169="FTE",B169*1880,B169)</f>
        <v/>
      </c>
      <c r="K169">
        <f>E169*(1+F169)*(1+G169)*(1+H169)*(1+I169)</f>
        <v/>
      </c>
      <c r="R169">
        <f>IF(L169="Y",J169*K169*Escalation!$B$2,0)</f>
        <v/>
      </c>
      <c r="S169">
        <f>IF(M169="Y",J169*K169*Escalation!$B$3,0)</f>
        <v/>
      </c>
      <c r="T169">
        <f>IF(N169="Y",J169*K169*Escalation!$B$4,0)</f>
        <v/>
      </c>
      <c r="U169">
        <f>IF(O169="Y",J169*K169*Escalation!$B$5,0)</f>
        <v/>
      </c>
      <c r="V169">
        <f>IF(P169="Y",J169*K169*Escalation!$B$6,0)</f>
        <v/>
      </c>
      <c r="W169">
        <f>IF(Q169="Y",J169*K169*Escalation!$B$7,0)</f>
        <v/>
      </c>
      <c r="X169">
        <f>SUM(R169:W169)</f>
        <v/>
      </c>
    </row>
    <row r="170">
      <c r="J170">
        <f>IF(C170="FTE",B170*1880,B170)</f>
        <v/>
      </c>
      <c r="K170">
        <f>E170*(1+F170)*(1+G170)*(1+H170)*(1+I170)</f>
        <v/>
      </c>
      <c r="R170">
        <f>IF(L170="Y",J170*K170*Escalation!$B$2,0)</f>
        <v/>
      </c>
      <c r="S170">
        <f>IF(M170="Y",J170*K170*Escalation!$B$3,0)</f>
        <v/>
      </c>
      <c r="T170">
        <f>IF(N170="Y",J170*K170*Escalation!$B$4,0)</f>
        <v/>
      </c>
      <c r="U170">
        <f>IF(O170="Y",J170*K170*Escalation!$B$5,0)</f>
        <v/>
      </c>
      <c r="V170">
        <f>IF(P170="Y",J170*K170*Escalation!$B$6,0)</f>
        <v/>
      </c>
      <c r="W170">
        <f>IF(Q170="Y",J170*K170*Escalation!$B$7,0)</f>
        <v/>
      </c>
      <c r="X170">
        <f>SUM(R170:W170)</f>
        <v/>
      </c>
    </row>
    <row r="171">
      <c r="J171">
        <f>IF(C171="FTE",B171*1880,B171)</f>
        <v/>
      </c>
      <c r="K171">
        <f>E171*(1+F171)*(1+G171)*(1+H171)*(1+I171)</f>
        <v/>
      </c>
      <c r="R171">
        <f>IF(L171="Y",J171*K171*Escalation!$B$2,0)</f>
        <v/>
      </c>
      <c r="S171">
        <f>IF(M171="Y",J171*K171*Escalation!$B$3,0)</f>
        <v/>
      </c>
      <c r="T171">
        <f>IF(N171="Y",J171*K171*Escalation!$B$4,0)</f>
        <v/>
      </c>
      <c r="U171">
        <f>IF(O171="Y",J171*K171*Escalation!$B$5,0)</f>
        <v/>
      </c>
      <c r="V171">
        <f>IF(P171="Y",J171*K171*Escalation!$B$6,0)</f>
        <v/>
      </c>
      <c r="W171">
        <f>IF(Q171="Y",J171*K171*Escalation!$B$7,0)</f>
        <v/>
      </c>
      <c r="X171">
        <f>SUM(R171:W171)</f>
        <v/>
      </c>
    </row>
    <row r="172">
      <c r="J172">
        <f>IF(C172="FTE",B172*1880,B172)</f>
        <v/>
      </c>
      <c r="K172">
        <f>E172*(1+F172)*(1+G172)*(1+H172)*(1+I172)</f>
        <v/>
      </c>
      <c r="R172">
        <f>IF(L172="Y",J172*K172*Escalation!$B$2,0)</f>
        <v/>
      </c>
      <c r="S172">
        <f>IF(M172="Y",J172*K172*Escalation!$B$3,0)</f>
        <v/>
      </c>
      <c r="T172">
        <f>IF(N172="Y",J172*K172*Escalation!$B$4,0)</f>
        <v/>
      </c>
      <c r="U172">
        <f>IF(O172="Y",J172*K172*Escalation!$B$5,0)</f>
        <v/>
      </c>
      <c r="V172">
        <f>IF(P172="Y",J172*K172*Escalation!$B$6,0)</f>
        <v/>
      </c>
      <c r="W172">
        <f>IF(Q172="Y",J172*K172*Escalation!$B$7,0)</f>
        <v/>
      </c>
      <c r="X172">
        <f>SUM(R172:W172)</f>
        <v/>
      </c>
    </row>
    <row r="173">
      <c r="J173">
        <f>IF(C173="FTE",B173*1880,B173)</f>
        <v/>
      </c>
      <c r="K173">
        <f>E173*(1+F173)*(1+G173)*(1+H173)*(1+I173)</f>
        <v/>
      </c>
      <c r="R173">
        <f>IF(L173="Y",J173*K173*Escalation!$B$2,0)</f>
        <v/>
      </c>
      <c r="S173">
        <f>IF(M173="Y",J173*K173*Escalation!$B$3,0)</f>
        <v/>
      </c>
      <c r="T173">
        <f>IF(N173="Y",J173*K173*Escalation!$B$4,0)</f>
        <v/>
      </c>
      <c r="U173">
        <f>IF(O173="Y",J173*K173*Escalation!$B$5,0)</f>
        <v/>
      </c>
      <c r="V173">
        <f>IF(P173="Y",J173*K173*Escalation!$B$6,0)</f>
        <v/>
      </c>
      <c r="W173">
        <f>IF(Q173="Y",J173*K173*Escalation!$B$7,0)</f>
        <v/>
      </c>
      <c r="X173">
        <f>SUM(R173:W173)</f>
        <v/>
      </c>
    </row>
    <row r="174">
      <c r="J174">
        <f>IF(C174="FTE",B174*1880,B174)</f>
        <v/>
      </c>
      <c r="K174">
        <f>E174*(1+F174)*(1+G174)*(1+H174)*(1+I174)</f>
        <v/>
      </c>
      <c r="R174">
        <f>IF(L174="Y",J174*K174*Escalation!$B$2,0)</f>
        <v/>
      </c>
      <c r="S174">
        <f>IF(M174="Y",J174*K174*Escalation!$B$3,0)</f>
        <v/>
      </c>
      <c r="T174">
        <f>IF(N174="Y",J174*K174*Escalation!$B$4,0)</f>
        <v/>
      </c>
      <c r="U174">
        <f>IF(O174="Y",J174*K174*Escalation!$B$5,0)</f>
        <v/>
      </c>
      <c r="V174">
        <f>IF(P174="Y",J174*K174*Escalation!$B$6,0)</f>
        <v/>
      </c>
      <c r="W174">
        <f>IF(Q174="Y",J174*K174*Escalation!$B$7,0)</f>
        <v/>
      </c>
      <c r="X174">
        <f>SUM(R174:W174)</f>
        <v/>
      </c>
    </row>
    <row r="175">
      <c r="J175">
        <f>IF(C175="FTE",B175*1880,B175)</f>
        <v/>
      </c>
      <c r="K175">
        <f>E175*(1+F175)*(1+G175)*(1+H175)*(1+I175)</f>
        <v/>
      </c>
      <c r="R175">
        <f>IF(L175="Y",J175*K175*Escalation!$B$2,0)</f>
        <v/>
      </c>
      <c r="S175">
        <f>IF(M175="Y",J175*K175*Escalation!$B$3,0)</f>
        <v/>
      </c>
      <c r="T175">
        <f>IF(N175="Y",J175*K175*Escalation!$B$4,0)</f>
        <v/>
      </c>
      <c r="U175">
        <f>IF(O175="Y",J175*K175*Escalation!$B$5,0)</f>
        <v/>
      </c>
      <c r="V175">
        <f>IF(P175="Y",J175*K175*Escalation!$B$6,0)</f>
        <v/>
      </c>
      <c r="W175">
        <f>IF(Q175="Y",J175*K175*Escalation!$B$7,0)</f>
        <v/>
      </c>
      <c r="X175">
        <f>SUM(R175:W175)</f>
        <v/>
      </c>
    </row>
    <row r="176">
      <c r="J176">
        <f>IF(C176="FTE",B176*1880,B176)</f>
        <v/>
      </c>
      <c r="K176">
        <f>E176*(1+F176)*(1+G176)*(1+H176)*(1+I176)</f>
        <v/>
      </c>
      <c r="R176">
        <f>IF(L176="Y",J176*K176*Escalation!$B$2,0)</f>
        <v/>
      </c>
      <c r="S176">
        <f>IF(M176="Y",J176*K176*Escalation!$B$3,0)</f>
        <v/>
      </c>
      <c r="T176">
        <f>IF(N176="Y",J176*K176*Escalation!$B$4,0)</f>
        <v/>
      </c>
      <c r="U176">
        <f>IF(O176="Y",J176*K176*Escalation!$B$5,0)</f>
        <v/>
      </c>
      <c r="V176">
        <f>IF(P176="Y",J176*K176*Escalation!$B$6,0)</f>
        <v/>
      </c>
      <c r="W176">
        <f>IF(Q176="Y",J176*K176*Escalation!$B$7,0)</f>
        <v/>
      </c>
      <c r="X176">
        <f>SUM(R176:W176)</f>
        <v/>
      </c>
    </row>
    <row r="177">
      <c r="J177">
        <f>IF(C177="FTE",B177*1880,B177)</f>
        <v/>
      </c>
      <c r="K177">
        <f>E177*(1+F177)*(1+G177)*(1+H177)*(1+I177)</f>
        <v/>
      </c>
      <c r="R177">
        <f>IF(L177="Y",J177*K177*Escalation!$B$2,0)</f>
        <v/>
      </c>
      <c r="S177">
        <f>IF(M177="Y",J177*K177*Escalation!$B$3,0)</f>
        <v/>
      </c>
      <c r="T177">
        <f>IF(N177="Y",J177*K177*Escalation!$B$4,0)</f>
        <v/>
      </c>
      <c r="U177">
        <f>IF(O177="Y",J177*K177*Escalation!$B$5,0)</f>
        <v/>
      </c>
      <c r="V177">
        <f>IF(P177="Y",J177*K177*Escalation!$B$6,0)</f>
        <v/>
      </c>
      <c r="W177">
        <f>IF(Q177="Y",J177*K177*Escalation!$B$7,0)</f>
        <v/>
      </c>
      <c r="X177">
        <f>SUM(R177:W177)</f>
        <v/>
      </c>
    </row>
    <row r="178">
      <c r="J178">
        <f>IF(C178="FTE",B178*1880,B178)</f>
        <v/>
      </c>
      <c r="K178">
        <f>E178*(1+F178)*(1+G178)*(1+H178)*(1+I178)</f>
        <v/>
      </c>
      <c r="R178">
        <f>IF(L178="Y",J178*K178*Escalation!$B$2,0)</f>
        <v/>
      </c>
      <c r="S178">
        <f>IF(M178="Y",J178*K178*Escalation!$B$3,0)</f>
        <v/>
      </c>
      <c r="T178">
        <f>IF(N178="Y",J178*K178*Escalation!$B$4,0)</f>
        <v/>
      </c>
      <c r="U178">
        <f>IF(O178="Y",J178*K178*Escalation!$B$5,0)</f>
        <v/>
      </c>
      <c r="V178">
        <f>IF(P178="Y",J178*K178*Escalation!$B$6,0)</f>
        <v/>
      </c>
      <c r="W178">
        <f>IF(Q178="Y",J178*K178*Escalation!$B$7,0)</f>
        <v/>
      </c>
      <c r="X178">
        <f>SUM(R178:W178)</f>
        <v/>
      </c>
    </row>
    <row r="179">
      <c r="J179">
        <f>IF(C179="FTE",B179*1880,B179)</f>
        <v/>
      </c>
      <c r="K179">
        <f>E179*(1+F179)*(1+G179)*(1+H179)*(1+I179)</f>
        <v/>
      </c>
      <c r="R179">
        <f>IF(L179="Y",J179*K179*Escalation!$B$2,0)</f>
        <v/>
      </c>
      <c r="S179">
        <f>IF(M179="Y",J179*K179*Escalation!$B$3,0)</f>
        <v/>
      </c>
      <c r="T179">
        <f>IF(N179="Y",J179*K179*Escalation!$B$4,0)</f>
        <v/>
      </c>
      <c r="U179">
        <f>IF(O179="Y",J179*K179*Escalation!$B$5,0)</f>
        <v/>
      </c>
      <c r="V179">
        <f>IF(P179="Y",J179*K179*Escalation!$B$6,0)</f>
        <v/>
      </c>
      <c r="W179">
        <f>IF(Q179="Y",J179*K179*Escalation!$B$7,0)</f>
        <v/>
      </c>
      <c r="X179">
        <f>SUM(R179:W179)</f>
        <v/>
      </c>
    </row>
    <row r="180">
      <c r="J180">
        <f>IF(C180="FTE",B180*1880,B180)</f>
        <v/>
      </c>
      <c r="K180">
        <f>E180*(1+F180)*(1+G180)*(1+H180)*(1+I180)</f>
        <v/>
      </c>
      <c r="R180">
        <f>IF(L180="Y",J180*K180*Escalation!$B$2,0)</f>
        <v/>
      </c>
      <c r="S180">
        <f>IF(M180="Y",J180*K180*Escalation!$B$3,0)</f>
        <v/>
      </c>
      <c r="T180">
        <f>IF(N180="Y",J180*K180*Escalation!$B$4,0)</f>
        <v/>
      </c>
      <c r="U180">
        <f>IF(O180="Y",J180*K180*Escalation!$B$5,0)</f>
        <v/>
      </c>
      <c r="V180">
        <f>IF(P180="Y",J180*K180*Escalation!$B$6,0)</f>
        <v/>
      </c>
      <c r="W180">
        <f>IF(Q180="Y",J180*K180*Escalation!$B$7,0)</f>
        <v/>
      </c>
      <c r="X180">
        <f>SUM(R180:W180)</f>
        <v/>
      </c>
    </row>
    <row r="181">
      <c r="J181">
        <f>IF(C181="FTE",B181*1880,B181)</f>
        <v/>
      </c>
      <c r="K181">
        <f>E181*(1+F181)*(1+G181)*(1+H181)*(1+I181)</f>
        <v/>
      </c>
      <c r="R181">
        <f>IF(L181="Y",J181*K181*Escalation!$B$2,0)</f>
        <v/>
      </c>
      <c r="S181">
        <f>IF(M181="Y",J181*K181*Escalation!$B$3,0)</f>
        <v/>
      </c>
      <c r="T181">
        <f>IF(N181="Y",J181*K181*Escalation!$B$4,0)</f>
        <v/>
      </c>
      <c r="U181">
        <f>IF(O181="Y",J181*K181*Escalation!$B$5,0)</f>
        <v/>
      </c>
      <c r="V181">
        <f>IF(P181="Y",J181*K181*Escalation!$B$6,0)</f>
        <v/>
      </c>
      <c r="W181">
        <f>IF(Q181="Y",J181*K181*Escalation!$B$7,0)</f>
        <v/>
      </c>
      <c r="X181">
        <f>SUM(R181:W181)</f>
        <v/>
      </c>
    </row>
    <row r="182">
      <c r="J182">
        <f>IF(C182="FTE",B182*1880,B182)</f>
        <v/>
      </c>
      <c r="K182">
        <f>E182*(1+F182)*(1+G182)*(1+H182)*(1+I182)</f>
        <v/>
      </c>
      <c r="R182">
        <f>IF(L182="Y",J182*K182*Escalation!$B$2,0)</f>
        <v/>
      </c>
      <c r="S182">
        <f>IF(M182="Y",J182*K182*Escalation!$B$3,0)</f>
        <v/>
      </c>
      <c r="T182">
        <f>IF(N182="Y",J182*K182*Escalation!$B$4,0)</f>
        <v/>
      </c>
      <c r="U182">
        <f>IF(O182="Y",J182*K182*Escalation!$B$5,0)</f>
        <v/>
      </c>
      <c r="V182">
        <f>IF(P182="Y",J182*K182*Escalation!$B$6,0)</f>
        <v/>
      </c>
      <c r="W182">
        <f>IF(Q182="Y",J182*K182*Escalation!$B$7,0)</f>
        <v/>
      </c>
      <c r="X182">
        <f>SUM(R182:W182)</f>
        <v/>
      </c>
    </row>
    <row r="183">
      <c r="J183">
        <f>IF(C183="FTE",B183*1880,B183)</f>
        <v/>
      </c>
      <c r="K183">
        <f>E183*(1+F183)*(1+G183)*(1+H183)*(1+I183)</f>
        <v/>
      </c>
      <c r="R183">
        <f>IF(L183="Y",J183*K183*Escalation!$B$2,0)</f>
        <v/>
      </c>
      <c r="S183">
        <f>IF(M183="Y",J183*K183*Escalation!$B$3,0)</f>
        <v/>
      </c>
      <c r="T183">
        <f>IF(N183="Y",J183*K183*Escalation!$B$4,0)</f>
        <v/>
      </c>
      <c r="U183">
        <f>IF(O183="Y",J183*K183*Escalation!$B$5,0)</f>
        <v/>
      </c>
      <c r="V183">
        <f>IF(P183="Y",J183*K183*Escalation!$B$6,0)</f>
        <v/>
      </c>
      <c r="W183">
        <f>IF(Q183="Y",J183*K183*Escalation!$B$7,0)</f>
        <v/>
      </c>
      <c r="X183">
        <f>SUM(R183:W183)</f>
        <v/>
      </c>
    </row>
    <row r="184">
      <c r="J184">
        <f>IF(C184="FTE",B184*1880,B184)</f>
        <v/>
      </c>
      <c r="K184">
        <f>E184*(1+F184)*(1+G184)*(1+H184)*(1+I184)</f>
        <v/>
      </c>
      <c r="R184">
        <f>IF(L184="Y",J184*K184*Escalation!$B$2,0)</f>
        <v/>
      </c>
      <c r="S184">
        <f>IF(M184="Y",J184*K184*Escalation!$B$3,0)</f>
        <v/>
      </c>
      <c r="T184">
        <f>IF(N184="Y",J184*K184*Escalation!$B$4,0)</f>
        <v/>
      </c>
      <c r="U184">
        <f>IF(O184="Y",J184*K184*Escalation!$B$5,0)</f>
        <v/>
      </c>
      <c r="V184">
        <f>IF(P184="Y",J184*K184*Escalation!$B$6,0)</f>
        <v/>
      </c>
      <c r="W184">
        <f>IF(Q184="Y",J184*K184*Escalation!$B$7,0)</f>
        <v/>
      </c>
      <c r="X184">
        <f>SUM(R184:W184)</f>
        <v/>
      </c>
    </row>
    <row r="185">
      <c r="J185">
        <f>IF(C185="FTE",B185*1880,B185)</f>
        <v/>
      </c>
      <c r="K185">
        <f>E185*(1+F185)*(1+G185)*(1+H185)*(1+I185)</f>
        <v/>
      </c>
      <c r="R185">
        <f>IF(L185="Y",J185*K185*Escalation!$B$2,0)</f>
        <v/>
      </c>
      <c r="S185">
        <f>IF(M185="Y",J185*K185*Escalation!$B$3,0)</f>
        <v/>
      </c>
      <c r="T185">
        <f>IF(N185="Y",J185*K185*Escalation!$B$4,0)</f>
        <v/>
      </c>
      <c r="U185">
        <f>IF(O185="Y",J185*K185*Escalation!$B$5,0)</f>
        <v/>
      </c>
      <c r="V185">
        <f>IF(P185="Y",J185*K185*Escalation!$B$6,0)</f>
        <v/>
      </c>
      <c r="W185">
        <f>IF(Q185="Y",J185*K185*Escalation!$B$7,0)</f>
        <v/>
      </c>
      <c r="X185">
        <f>SUM(R185:W185)</f>
        <v/>
      </c>
    </row>
    <row r="186">
      <c r="J186">
        <f>IF(C186="FTE",B186*1880,B186)</f>
        <v/>
      </c>
      <c r="K186">
        <f>E186*(1+F186)*(1+G186)*(1+H186)*(1+I186)</f>
        <v/>
      </c>
      <c r="R186">
        <f>IF(L186="Y",J186*K186*Escalation!$B$2,0)</f>
        <v/>
      </c>
      <c r="S186">
        <f>IF(M186="Y",J186*K186*Escalation!$B$3,0)</f>
        <v/>
      </c>
      <c r="T186">
        <f>IF(N186="Y",J186*K186*Escalation!$B$4,0)</f>
        <v/>
      </c>
      <c r="U186">
        <f>IF(O186="Y",J186*K186*Escalation!$B$5,0)</f>
        <v/>
      </c>
      <c r="V186">
        <f>IF(P186="Y",J186*K186*Escalation!$B$6,0)</f>
        <v/>
      </c>
      <c r="W186">
        <f>IF(Q186="Y",J186*K186*Escalation!$B$7,0)</f>
        <v/>
      </c>
      <c r="X186">
        <f>SUM(R186:W186)</f>
        <v/>
      </c>
    </row>
    <row r="187">
      <c r="J187">
        <f>IF(C187="FTE",B187*1880,B187)</f>
        <v/>
      </c>
      <c r="K187">
        <f>E187*(1+F187)*(1+G187)*(1+H187)*(1+I187)</f>
        <v/>
      </c>
      <c r="R187">
        <f>IF(L187="Y",J187*K187*Escalation!$B$2,0)</f>
        <v/>
      </c>
      <c r="S187">
        <f>IF(M187="Y",J187*K187*Escalation!$B$3,0)</f>
        <v/>
      </c>
      <c r="T187">
        <f>IF(N187="Y",J187*K187*Escalation!$B$4,0)</f>
        <v/>
      </c>
      <c r="U187">
        <f>IF(O187="Y",J187*K187*Escalation!$B$5,0)</f>
        <v/>
      </c>
      <c r="V187">
        <f>IF(P187="Y",J187*K187*Escalation!$B$6,0)</f>
        <v/>
      </c>
      <c r="W187">
        <f>IF(Q187="Y",J187*K187*Escalation!$B$7,0)</f>
        <v/>
      </c>
      <c r="X187">
        <f>SUM(R187:W187)</f>
        <v/>
      </c>
    </row>
    <row r="188">
      <c r="J188">
        <f>IF(C188="FTE",B188*1880,B188)</f>
        <v/>
      </c>
      <c r="K188">
        <f>E188*(1+F188)*(1+G188)*(1+H188)*(1+I188)</f>
        <v/>
      </c>
      <c r="R188">
        <f>IF(L188="Y",J188*K188*Escalation!$B$2,0)</f>
        <v/>
      </c>
      <c r="S188">
        <f>IF(M188="Y",J188*K188*Escalation!$B$3,0)</f>
        <v/>
      </c>
      <c r="T188">
        <f>IF(N188="Y",J188*K188*Escalation!$B$4,0)</f>
        <v/>
      </c>
      <c r="U188">
        <f>IF(O188="Y",J188*K188*Escalation!$B$5,0)</f>
        <v/>
      </c>
      <c r="V188">
        <f>IF(P188="Y",J188*K188*Escalation!$B$6,0)</f>
        <v/>
      </c>
      <c r="W188">
        <f>IF(Q188="Y",J188*K188*Escalation!$B$7,0)</f>
        <v/>
      </c>
      <c r="X188">
        <f>SUM(R188:W188)</f>
        <v/>
      </c>
    </row>
    <row r="189">
      <c r="J189">
        <f>IF(C189="FTE",B189*1880,B189)</f>
        <v/>
      </c>
      <c r="K189">
        <f>E189*(1+F189)*(1+G189)*(1+H189)*(1+I189)</f>
        <v/>
      </c>
      <c r="R189">
        <f>IF(L189="Y",J189*K189*Escalation!$B$2,0)</f>
        <v/>
      </c>
      <c r="S189">
        <f>IF(M189="Y",J189*K189*Escalation!$B$3,0)</f>
        <v/>
      </c>
      <c r="T189">
        <f>IF(N189="Y",J189*K189*Escalation!$B$4,0)</f>
        <v/>
      </c>
      <c r="U189">
        <f>IF(O189="Y",J189*K189*Escalation!$B$5,0)</f>
        <v/>
      </c>
      <c r="V189">
        <f>IF(P189="Y",J189*K189*Escalation!$B$6,0)</f>
        <v/>
      </c>
      <c r="W189">
        <f>IF(Q189="Y",J189*K189*Escalation!$B$7,0)</f>
        <v/>
      </c>
      <c r="X189">
        <f>SUM(R189:W189)</f>
        <v/>
      </c>
    </row>
    <row r="190">
      <c r="J190">
        <f>IF(C190="FTE",B190*1880,B190)</f>
        <v/>
      </c>
      <c r="K190">
        <f>E190*(1+F190)*(1+G190)*(1+H190)*(1+I190)</f>
        <v/>
      </c>
      <c r="R190">
        <f>IF(L190="Y",J190*K190*Escalation!$B$2,0)</f>
        <v/>
      </c>
      <c r="S190">
        <f>IF(M190="Y",J190*K190*Escalation!$B$3,0)</f>
        <v/>
      </c>
      <c r="T190">
        <f>IF(N190="Y",J190*K190*Escalation!$B$4,0)</f>
        <v/>
      </c>
      <c r="U190">
        <f>IF(O190="Y",J190*K190*Escalation!$B$5,0)</f>
        <v/>
      </c>
      <c r="V190">
        <f>IF(P190="Y",J190*K190*Escalation!$B$6,0)</f>
        <v/>
      </c>
      <c r="W190">
        <f>IF(Q190="Y",J190*K190*Escalation!$B$7,0)</f>
        <v/>
      </c>
      <c r="X190">
        <f>SUM(R190:W190)</f>
        <v/>
      </c>
    </row>
    <row r="191">
      <c r="J191">
        <f>IF(C191="FTE",B191*1880,B191)</f>
        <v/>
      </c>
      <c r="K191">
        <f>E191*(1+F191)*(1+G191)*(1+H191)*(1+I191)</f>
        <v/>
      </c>
      <c r="R191">
        <f>IF(L191="Y",J191*K191*Escalation!$B$2,0)</f>
        <v/>
      </c>
      <c r="S191">
        <f>IF(M191="Y",J191*K191*Escalation!$B$3,0)</f>
        <v/>
      </c>
      <c r="T191">
        <f>IF(N191="Y",J191*K191*Escalation!$B$4,0)</f>
        <v/>
      </c>
      <c r="U191">
        <f>IF(O191="Y",J191*K191*Escalation!$B$5,0)</f>
        <v/>
      </c>
      <c r="V191">
        <f>IF(P191="Y",J191*K191*Escalation!$B$6,0)</f>
        <v/>
      </c>
      <c r="W191">
        <f>IF(Q191="Y",J191*K191*Escalation!$B$7,0)</f>
        <v/>
      </c>
      <c r="X191">
        <f>SUM(R191:W191)</f>
        <v/>
      </c>
    </row>
    <row r="192">
      <c r="J192">
        <f>IF(C192="FTE",B192*1880,B192)</f>
        <v/>
      </c>
      <c r="K192">
        <f>E192*(1+F192)*(1+G192)*(1+H192)*(1+I192)</f>
        <v/>
      </c>
      <c r="R192">
        <f>IF(L192="Y",J192*K192*Escalation!$B$2,0)</f>
        <v/>
      </c>
      <c r="S192">
        <f>IF(M192="Y",J192*K192*Escalation!$B$3,0)</f>
        <v/>
      </c>
      <c r="T192">
        <f>IF(N192="Y",J192*K192*Escalation!$B$4,0)</f>
        <v/>
      </c>
      <c r="U192">
        <f>IF(O192="Y",J192*K192*Escalation!$B$5,0)</f>
        <v/>
      </c>
      <c r="V192">
        <f>IF(P192="Y",J192*K192*Escalation!$B$6,0)</f>
        <v/>
      </c>
      <c r="W192">
        <f>IF(Q192="Y",J192*K192*Escalation!$B$7,0)</f>
        <v/>
      </c>
      <c r="X192">
        <f>SUM(R192:W192)</f>
        <v/>
      </c>
    </row>
    <row r="193">
      <c r="J193">
        <f>IF(C193="FTE",B193*1880,B193)</f>
        <v/>
      </c>
      <c r="K193">
        <f>E193*(1+F193)*(1+G193)*(1+H193)*(1+I193)</f>
        <v/>
      </c>
      <c r="R193">
        <f>IF(L193="Y",J193*K193*Escalation!$B$2,0)</f>
        <v/>
      </c>
      <c r="S193">
        <f>IF(M193="Y",J193*K193*Escalation!$B$3,0)</f>
        <v/>
      </c>
      <c r="T193">
        <f>IF(N193="Y",J193*K193*Escalation!$B$4,0)</f>
        <v/>
      </c>
      <c r="U193">
        <f>IF(O193="Y",J193*K193*Escalation!$B$5,0)</f>
        <v/>
      </c>
      <c r="V193">
        <f>IF(P193="Y",J193*K193*Escalation!$B$6,0)</f>
        <v/>
      </c>
      <c r="W193">
        <f>IF(Q193="Y",J193*K193*Escalation!$B$7,0)</f>
        <v/>
      </c>
      <c r="X193">
        <f>SUM(R193:W193)</f>
        <v/>
      </c>
    </row>
    <row r="194">
      <c r="J194">
        <f>IF(C194="FTE",B194*1880,B194)</f>
        <v/>
      </c>
      <c r="K194">
        <f>E194*(1+F194)*(1+G194)*(1+H194)*(1+I194)</f>
        <v/>
      </c>
      <c r="R194">
        <f>IF(L194="Y",J194*K194*Escalation!$B$2,0)</f>
        <v/>
      </c>
      <c r="S194">
        <f>IF(M194="Y",J194*K194*Escalation!$B$3,0)</f>
        <v/>
      </c>
      <c r="T194">
        <f>IF(N194="Y",J194*K194*Escalation!$B$4,0)</f>
        <v/>
      </c>
      <c r="U194">
        <f>IF(O194="Y",J194*K194*Escalation!$B$5,0)</f>
        <v/>
      </c>
      <c r="V194">
        <f>IF(P194="Y",J194*K194*Escalation!$B$6,0)</f>
        <v/>
      </c>
      <c r="W194">
        <f>IF(Q194="Y",J194*K194*Escalation!$B$7,0)</f>
        <v/>
      </c>
      <c r="X194">
        <f>SUM(R194:W194)</f>
        <v/>
      </c>
    </row>
    <row r="195">
      <c r="J195">
        <f>IF(C195="FTE",B195*1880,B195)</f>
        <v/>
      </c>
      <c r="K195">
        <f>E195*(1+F195)*(1+G195)*(1+H195)*(1+I195)</f>
        <v/>
      </c>
      <c r="R195">
        <f>IF(L195="Y",J195*K195*Escalation!$B$2,0)</f>
        <v/>
      </c>
      <c r="S195">
        <f>IF(M195="Y",J195*K195*Escalation!$B$3,0)</f>
        <v/>
      </c>
      <c r="T195">
        <f>IF(N195="Y",J195*K195*Escalation!$B$4,0)</f>
        <v/>
      </c>
      <c r="U195">
        <f>IF(O195="Y",J195*K195*Escalation!$B$5,0)</f>
        <v/>
      </c>
      <c r="V195">
        <f>IF(P195="Y",J195*K195*Escalation!$B$6,0)</f>
        <v/>
      </c>
      <c r="W195">
        <f>IF(Q195="Y",J195*K195*Escalation!$B$7,0)</f>
        <v/>
      </c>
      <c r="X195">
        <f>SUM(R195:W195)</f>
        <v/>
      </c>
    </row>
    <row r="196">
      <c r="J196">
        <f>IF(C196="FTE",B196*1880,B196)</f>
        <v/>
      </c>
      <c r="K196">
        <f>E196*(1+F196)*(1+G196)*(1+H196)*(1+I196)</f>
        <v/>
      </c>
      <c r="R196">
        <f>IF(L196="Y",J196*K196*Escalation!$B$2,0)</f>
        <v/>
      </c>
      <c r="S196">
        <f>IF(M196="Y",J196*K196*Escalation!$B$3,0)</f>
        <v/>
      </c>
      <c r="T196">
        <f>IF(N196="Y",J196*K196*Escalation!$B$4,0)</f>
        <v/>
      </c>
      <c r="U196">
        <f>IF(O196="Y",J196*K196*Escalation!$B$5,0)</f>
        <v/>
      </c>
      <c r="V196">
        <f>IF(P196="Y",J196*K196*Escalation!$B$6,0)</f>
        <v/>
      </c>
      <c r="W196">
        <f>IF(Q196="Y",J196*K196*Escalation!$B$7,0)</f>
        <v/>
      </c>
      <c r="X196">
        <f>SUM(R196:W196)</f>
        <v/>
      </c>
    </row>
    <row r="197">
      <c r="J197">
        <f>IF(C197="FTE",B197*1880,B197)</f>
        <v/>
      </c>
      <c r="K197">
        <f>E197*(1+F197)*(1+G197)*(1+H197)*(1+I197)</f>
        <v/>
      </c>
      <c r="R197">
        <f>IF(L197="Y",J197*K197*Escalation!$B$2,0)</f>
        <v/>
      </c>
      <c r="S197">
        <f>IF(M197="Y",J197*K197*Escalation!$B$3,0)</f>
        <v/>
      </c>
      <c r="T197">
        <f>IF(N197="Y",J197*K197*Escalation!$B$4,0)</f>
        <v/>
      </c>
      <c r="U197">
        <f>IF(O197="Y",J197*K197*Escalation!$B$5,0)</f>
        <v/>
      </c>
      <c r="V197">
        <f>IF(P197="Y",J197*K197*Escalation!$B$6,0)</f>
        <v/>
      </c>
      <c r="W197">
        <f>IF(Q197="Y",J197*K197*Escalation!$B$7,0)</f>
        <v/>
      </c>
      <c r="X197">
        <f>SUM(R197:W197)</f>
        <v/>
      </c>
    </row>
    <row r="198">
      <c r="J198">
        <f>IF(C198="FTE",B198*1880,B198)</f>
        <v/>
      </c>
      <c r="K198">
        <f>E198*(1+F198)*(1+G198)*(1+H198)*(1+I198)</f>
        <v/>
      </c>
      <c r="R198">
        <f>IF(L198="Y",J198*K198*Escalation!$B$2,0)</f>
        <v/>
      </c>
      <c r="S198">
        <f>IF(M198="Y",J198*K198*Escalation!$B$3,0)</f>
        <v/>
      </c>
      <c r="T198">
        <f>IF(N198="Y",J198*K198*Escalation!$B$4,0)</f>
        <v/>
      </c>
      <c r="U198">
        <f>IF(O198="Y",J198*K198*Escalation!$B$5,0)</f>
        <v/>
      </c>
      <c r="V198">
        <f>IF(P198="Y",J198*K198*Escalation!$B$6,0)</f>
        <v/>
      </c>
      <c r="W198">
        <f>IF(Q198="Y",J198*K198*Escalation!$B$7,0)</f>
        <v/>
      </c>
      <c r="X198">
        <f>SUM(R198:W198)</f>
        <v/>
      </c>
    </row>
    <row r="199">
      <c r="J199">
        <f>IF(C199="FTE",B199*1880,B199)</f>
        <v/>
      </c>
      <c r="K199">
        <f>E199*(1+F199)*(1+G199)*(1+H199)*(1+I199)</f>
        <v/>
      </c>
      <c r="R199">
        <f>IF(L199="Y",J199*K199*Escalation!$B$2,0)</f>
        <v/>
      </c>
      <c r="S199">
        <f>IF(M199="Y",J199*K199*Escalation!$B$3,0)</f>
        <v/>
      </c>
      <c r="T199">
        <f>IF(N199="Y",J199*K199*Escalation!$B$4,0)</f>
        <v/>
      </c>
      <c r="U199">
        <f>IF(O199="Y",J199*K199*Escalation!$B$5,0)</f>
        <v/>
      </c>
      <c r="V199">
        <f>IF(P199="Y",J199*K199*Escalation!$B$6,0)</f>
        <v/>
      </c>
      <c r="W199">
        <f>IF(Q199="Y",J199*K199*Escalation!$B$7,0)</f>
        <v/>
      </c>
      <c r="X199">
        <f>SUM(R199:W199)</f>
        <v/>
      </c>
    </row>
    <row r="200">
      <c r="J200">
        <f>IF(C200="FTE",B200*1880,B200)</f>
        <v/>
      </c>
      <c r="K200">
        <f>E200*(1+F200)*(1+G200)*(1+H200)*(1+I200)</f>
        <v/>
      </c>
      <c r="R200">
        <f>IF(L200="Y",J200*K200*Escalation!$B$2,0)</f>
        <v/>
      </c>
      <c r="S200">
        <f>IF(M200="Y",J200*K200*Escalation!$B$3,0)</f>
        <v/>
      </c>
      <c r="T200">
        <f>IF(N200="Y",J200*K200*Escalation!$B$4,0)</f>
        <v/>
      </c>
      <c r="U200">
        <f>IF(O200="Y",J200*K200*Escalation!$B$5,0)</f>
        <v/>
      </c>
      <c r="V200">
        <f>IF(P200="Y",J200*K200*Escalation!$B$6,0)</f>
        <v/>
      </c>
      <c r="W200">
        <f>IF(Q200="Y",J200*K200*Escalation!$B$7,0)</f>
        <v/>
      </c>
      <c r="X200">
        <f>SUM(R200:W200)</f>
        <v/>
      </c>
    </row>
    <row r="201">
      <c r="J201">
        <f>IF(C201="FTE",B201*1880,B201)</f>
        <v/>
      </c>
      <c r="K201">
        <f>E201*(1+F201)*(1+G201)*(1+H201)*(1+I201)</f>
        <v/>
      </c>
      <c r="R201">
        <f>IF(L201="Y",J201*K201*Escalation!$B$2,0)</f>
        <v/>
      </c>
      <c r="S201">
        <f>IF(M201="Y",J201*K201*Escalation!$B$3,0)</f>
        <v/>
      </c>
      <c r="T201">
        <f>IF(N201="Y",J201*K201*Escalation!$B$4,0)</f>
        <v/>
      </c>
      <c r="U201">
        <f>IF(O201="Y",J201*K201*Escalation!$B$5,0)</f>
        <v/>
      </c>
      <c r="V201">
        <f>IF(P201="Y",J201*K201*Escalation!$B$6,0)</f>
        <v/>
      </c>
      <c r="W201">
        <f>IF(Q201="Y",J201*K201*Escalation!$B$7,0)</f>
        <v/>
      </c>
      <c r="X201">
        <f>SUM(R201:W201)</f>
        <v/>
      </c>
    </row>
    <row r="202">
      <c r="J202">
        <f>IF(C202="FTE",B202*1880,B202)</f>
        <v/>
      </c>
      <c r="K202">
        <f>E202*(1+F202)*(1+G202)*(1+H202)*(1+I202)</f>
        <v/>
      </c>
      <c r="R202">
        <f>IF(L202="Y",J202*K202*Escalation!$B$2,0)</f>
        <v/>
      </c>
      <c r="S202">
        <f>IF(M202="Y",J202*K202*Escalation!$B$3,0)</f>
        <v/>
      </c>
      <c r="T202">
        <f>IF(N202="Y",J202*K202*Escalation!$B$4,0)</f>
        <v/>
      </c>
      <c r="U202">
        <f>IF(O202="Y",J202*K202*Escalation!$B$5,0)</f>
        <v/>
      </c>
      <c r="V202">
        <f>IF(P202="Y",J202*K202*Escalation!$B$6,0)</f>
        <v/>
      </c>
      <c r="W202">
        <f>IF(Q202="Y",J202*K202*Escalation!$B$7,0)</f>
        <v/>
      </c>
      <c r="X202">
        <f>SUM(R202:W202)</f>
        <v/>
      </c>
    </row>
    <row r="203">
      <c r="J203">
        <f>IF(C203="FTE",B203*1880,B203)</f>
        <v/>
      </c>
      <c r="K203">
        <f>E203*(1+F203)*(1+G203)*(1+H203)*(1+I203)</f>
        <v/>
      </c>
      <c r="R203">
        <f>IF(L203="Y",J203*K203*Escalation!$B$2,0)</f>
        <v/>
      </c>
      <c r="S203">
        <f>IF(M203="Y",J203*K203*Escalation!$B$3,0)</f>
        <v/>
      </c>
      <c r="T203">
        <f>IF(N203="Y",J203*K203*Escalation!$B$4,0)</f>
        <v/>
      </c>
      <c r="U203">
        <f>IF(O203="Y",J203*K203*Escalation!$B$5,0)</f>
        <v/>
      </c>
      <c r="V203">
        <f>IF(P203="Y",J203*K203*Escalation!$B$6,0)</f>
        <v/>
      </c>
      <c r="W203">
        <f>IF(Q203="Y",J203*K203*Escalation!$B$7,0)</f>
        <v/>
      </c>
      <c r="X203">
        <f>SUM(R203:W203)</f>
        <v/>
      </c>
    </row>
    <row r="204">
      <c r="J204">
        <f>IF(C204="FTE",B204*1880,B204)</f>
        <v/>
      </c>
      <c r="K204">
        <f>E204*(1+F204)*(1+G204)*(1+H204)*(1+I204)</f>
        <v/>
      </c>
      <c r="R204">
        <f>IF(L204="Y",J204*K204*Escalation!$B$2,0)</f>
        <v/>
      </c>
      <c r="S204">
        <f>IF(M204="Y",J204*K204*Escalation!$B$3,0)</f>
        <v/>
      </c>
      <c r="T204">
        <f>IF(N204="Y",J204*K204*Escalation!$B$4,0)</f>
        <v/>
      </c>
      <c r="U204">
        <f>IF(O204="Y",J204*K204*Escalation!$B$5,0)</f>
        <v/>
      </c>
      <c r="V204">
        <f>IF(P204="Y",J204*K204*Escalation!$B$6,0)</f>
        <v/>
      </c>
      <c r="W204">
        <f>IF(Q204="Y",J204*K204*Escalation!$B$7,0)</f>
        <v/>
      </c>
      <c r="X204">
        <f>SUM(R204:W204)</f>
        <v/>
      </c>
    </row>
    <row r="205">
      <c r="J205">
        <f>IF(C205="FTE",B205*1880,B205)</f>
        <v/>
      </c>
      <c r="K205">
        <f>E205*(1+F205)*(1+G205)*(1+H205)*(1+I205)</f>
        <v/>
      </c>
      <c r="R205">
        <f>IF(L205="Y",J205*K205*Escalation!$B$2,0)</f>
        <v/>
      </c>
      <c r="S205">
        <f>IF(M205="Y",J205*K205*Escalation!$B$3,0)</f>
        <v/>
      </c>
      <c r="T205">
        <f>IF(N205="Y",J205*K205*Escalation!$B$4,0)</f>
        <v/>
      </c>
      <c r="U205">
        <f>IF(O205="Y",J205*K205*Escalation!$B$5,0)</f>
        <v/>
      </c>
      <c r="V205">
        <f>IF(P205="Y",J205*K205*Escalation!$B$6,0)</f>
        <v/>
      </c>
      <c r="W205">
        <f>IF(Q205="Y",J205*K205*Escalation!$B$7,0)</f>
        <v/>
      </c>
      <c r="X205">
        <f>SUM(R205:W205)</f>
        <v/>
      </c>
    </row>
    <row r="206">
      <c r="J206">
        <f>IF(C206="FTE",B206*1880,B206)</f>
        <v/>
      </c>
      <c r="K206">
        <f>E206*(1+F206)*(1+G206)*(1+H206)*(1+I206)</f>
        <v/>
      </c>
      <c r="R206">
        <f>IF(L206="Y",J206*K206*Escalation!$B$2,0)</f>
        <v/>
      </c>
      <c r="S206">
        <f>IF(M206="Y",J206*K206*Escalation!$B$3,0)</f>
        <v/>
      </c>
      <c r="T206">
        <f>IF(N206="Y",J206*K206*Escalation!$B$4,0)</f>
        <v/>
      </c>
      <c r="U206">
        <f>IF(O206="Y",J206*K206*Escalation!$B$5,0)</f>
        <v/>
      </c>
      <c r="V206">
        <f>IF(P206="Y",J206*K206*Escalation!$B$6,0)</f>
        <v/>
      </c>
      <c r="W206">
        <f>IF(Q206="Y",J206*K206*Escalation!$B$7,0)</f>
        <v/>
      </c>
      <c r="X206">
        <f>SUM(R206:W206)</f>
        <v/>
      </c>
    </row>
    <row r="207">
      <c r="J207">
        <f>IF(C207="FTE",B207*1880,B207)</f>
        <v/>
      </c>
      <c r="K207">
        <f>E207*(1+F207)*(1+G207)*(1+H207)*(1+I207)</f>
        <v/>
      </c>
      <c r="R207">
        <f>IF(L207="Y",J207*K207*Escalation!$B$2,0)</f>
        <v/>
      </c>
      <c r="S207">
        <f>IF(M207="Y",J207*K207*Escalation!$B$3,0)</f>
        <v/>
      </c>
      <c r="T207">
        <f>IF(N207="Y",J207*K207*Escalation!$B$4,0)</f>
        <v/>
      </c>
      <c r="U207">
        <f>IF(O207="Y",J207*K207*Escalation!$B$5,0)</f>
        <v/>
      </c>
      <c r="V207">
        <f>IF(P207="Y",J207*K207*Escalation!$B$6,0)</f>
        <v/>
      </c>
      <c r="W207">
        <f>IF(Q207="Y",J207*K207*Escalation!$B$7,0)</f>
        <v/>
      </c>
      <c r="X207">
        <f>SUM(R207:W207)</f>
        <v/>
      </c>
    </row>
    <row r="208">
      <c r="J208">
        <f>IF(C208="FTE",B208*1880,B208)</f>
        <v/>
      </c>
      <c r="K208">
        <f>E208*(1+F208)*(1+G208)*(1+H208)*(1+I208)</f>
        <v/>
      </c>
      <c r="R208">
        <f>IF(L208="Y",J208*K208*Escalation!$B$2,0)</f>
        <v/>
      </c>
      <c r="S208">
        <f>IF(M208="Y",J208*K208*Escalation!$B$3,0)</f>
        <v/>
      </c>
      <c r="T208">
        <f>IF(N208="Y",J208*K208*Escalation!$B$4,0)</f>
        <v/>
      </c>
      <c r="U208">
        <f>IF(O208="Y",J208*K208*Escalation!$B$5,0)</f>
        <v/>
      </c>
      <c r="V208">
        <f>IF(P208="Y",J208*K208*Escalation!$B$6,0)</f>
        <v/>
      </c>
      <c r="W208">
        <f>IF(Q208="Y",J208*K208*Escalation!$B$7,0)</f>
        <v/>
      </c>
      <c r="X208">
        <f>SUM(R208:W208)</f>
        <v/>
      </c>
    </row>
    <row r="209">
      <c r="J209">
        <f>IF(C209="FTE",B209*1880,B209)</f>
        <v/>
      </c>
      <c r="K209">
        <f>E209*(1+F209)*(1+G209)*(1+H209)*(1+I209)</f>
        <v/>
      </c>
      <c r="R209">
        <f>IF(L209="Y",J209*K209*Escalation!$B$2,0)</f>
        <v/>
      </c>
      <c r="S209">
        <f>IF(M209="Y",J209*K209*Escalation!$B$3,0)</f>
        <v/>
      </c>
      <c r="T209">
        <f>IF(N209="Y",J209*K209*Escalation!$B$4,0)</f>
        <v/>
      </c>
      <c r="U209">
        <f>IF(O209="Y",J209*K209*Escalation!$B$5,0)</f>
        <v/>
      </c>
      <c r="V209">
        <f>IF(P209="Y",J209*K209*Escalation!$B$6,0)</f>
        <v/>
      </c>
      <c r="W209">
        <f>IF(Q209="Y",J209*K209*Escalation!$B$7,0)</f>
        <v/>
      </c>
      <c r="X209">
        <f>SUM(R209:W209)</f>
        <v/>
      </c>
    </row>
    <row r="210">
      <c r="J210">
        <f>IF(C210="FTE",B210*1880,B210)</f>
        <v/>
      </c>
      <c r="K210">
        <f>E210*(1+F210)*(1+G210)*(1+H210)*(1+I210)</f>
        <v/>
      </c>
      <c r="R210">
        <f>IF(L210="Y",J210*K210*Escalation!$B$2,0)</f>
        <v/>
      </c>
      <c r="S210">
        <f>IF(M210="Y",J210*K210*Escalation!$B$3,0)</f>
        <v/>
      </c>
      <c r="T210">
        <f>IF(N210="Y",J210*K210*Escalation!$B$4,0)</f>
        <v/>
      </c>
      <c r="U210">
        <f>IF(O210="Y",J210*K210*Escalation!$B$5,0)</f>
        <v/>
      </c>
      <c r="V210">
        <f>IF(P210="Y",J210*K210*Escalation!$B$6,0)</f>
        <v/>
      </c>
      <c r="W210">
        <f>IF(Q210="Y",J210*K210*Escalation!$B$7,0)</f>
        <v/>
      </c>
      <c r="X210">
        <f>SUM(R210:W210)</f>
        <v/>
      </c>
    </row>
    <row r="211">
      <c r="J211">
        <f>IF(C211="FTE",B211*1880,B211)</f>
        <v/>
      </c>
      <c r="K211">
        <f>E211*(1+F211)*(1+G211)*(1+H211)*(1+I211)</f>
        <v/>
      </c>
      <c r="R211">
        <f>IF(L211="Y",J211*K211*Escalation!$B$2,0)</f>
        <v/>
      </c>
      <c r="S211">
        <f>IF(M211="Y",J211*K211*Escalation!$B$3,0)</f>
        <v/>
      </c>
      <c r="T211">
        <f>IF(N211="Y",J211*K211*Escalation!$B$4,0)</f>
        <v/>
      </c>
      <c r="U211">
        <f>IF(O211="Y",J211*K211*Escalation!$B$5,0)</f>
        <v/>
      </c>
      <c r="V211">
        <f>IF(P211="Y",J211*K211*Escalation!$B$6,0)</f>
        <v/>
      </c>
      <c r="W211">
        <f>IF(Q211="Y",J211*K211*Escalation!$B$7,0)</f>
        <v/>
      </c>
      <c r="X211">
        <f>SUM(R211:W211)</f>
        <v/>
      </c>
    </row>
    <row r="212">
      <c r="J212">
        <f>IF(C212="FTE",B212*1880,B212)</f>
        <v/>
      </c>
      <c r="K212">
        <f>E212*(1+F212)*(1+G212)*(1+H212)*(1+I212)</f>
        <v/>
      </c>
      <c r="R212">
        <f>IF(L212="Y",J212*K212*Escalation!$B$2,0)</f>
        <v/>
      </c>
      <c r="S212">
        <f>IF(M212="Y",J212*K212*Escalation!$B$3,0)</f>
        <v/>
      </c>
      <c r="T212">
        <f>IF(N212="Y",J212*K212*Escalation!$B$4,0)</f>
        <v/>
      </c>
      <c r="U212">
        <f>IF(O212="Y",J212*K212*Escalation!$B$5,0)</f>
        <v/>
      </c>
      <c r="V212">
        <f>IF(P212="Y",J212*K212*Escalation!$B$6,0)</f>
        <v/>
      </c>
      <c r="W212">
        <f>IF(Q212="Y",J212*K212*Escalation!$B$7,0)</f>
        <v/>
      </c>
      <c r="X212">
        <f>SUM(R212:W212)</f>
        <v/>
      </c>
    </row>
    <row r="213">
      <c r="J213">
        <f>IF(C213="FTE",B213*1880,B213)</f>
        <v/>
      </c>
      <c r="K213">
        <f>E213*(1+F213)*(1+G213)*(1+H213)*(1+I213)</f>
        <v/>
      </c>
      <c r="R213">
        <f>IF(L213="Y",J213*K213*Escalation!$B$2,0)</f>
        <v/>
      </c>
      <c r="S213">
        <f>IF(M213="Y",J213*K213*Escalation!$B$3,0)</f>
        <v/>
      </c>
      <c r="T213">
        <f>IF(N213="Y",J213*K213*Escalation!$B$4,0)</f>
        <v/>
      </c>
      <c r="U213">
        <f>IF(O213="Y",J213*K213*Escalation!$B$5,0)</f>
        <v/>
      </c>
      <c r="V213">
        <f>IF(P213="Y",J213*K213*Escalation!$B$6,0)</f>
        <v/>
      </c>
      <c r="W213">
        <f>IF(Q213="Y",J213*K213*Escalation!$B$7,0)</f>
        <v/>
      </c>
      <c r="X213">
        <f>SUM(R213:W213)</f>
        <v/>
      </c>
    </row>
    <row r="214">
      <c r="J214">
        <f>IF(C214="FTE",B214*1880,B214)</f>
        <v/>
      </c>
      <c r="K214">
        <f>E214*(1+F214)*(1+G214)*(1+H214)*(1+I214)</f>
        <v/>
      </c>
      <c r="R214">
        <f>IF(L214="Y",J214*K214*Escalation!$B$2,0)</f>
        <v/>
      </c>
      <c r="S214">
        <f>IF(M214="Y",J214*K214*Escalation!$B$3,0)</f>
        <v/>
      </c>
      <c r="T214">
        <f>IF(N214="Y",J214*K214*Escalation!$B$4,0)</f>
        <v/>
      </c>
      <c r="U214">
        <f>IF(O214="Y",J214*K214*Escalation!$B$5,0)</f>
        <v/>
      </c>
      <c r="V214">
        <f>IF(P214="Y",J214*K214*Escalation!$B$6,0)</f>
        <v/>
      </c>
      <c r="W214">
        <f>IF(Q214="Y",J214*K214*Escalation!$B$7,0)</f>
        <v/>
      </c>
      <c r="X214">
        <f>SUM(R214:W214)</f>
        <v/>
      </c>
    </row>
    <row r="215">
      <c r="J215">
        <f>IF(C215="FTE",B215*1880,B215)</f>
        <v/>
      </c>
      <c r="K215">
        <f>E215*(1+F215)*(1+G215)*(1+H215)*(1+I215)</f>
        <v/>
      </c>
      <c r="R215">
        <f>IF(L215="Y",J215*K215*Escalation!$B$2,0)</f>
        <v/>
      </c>
      <c r="S215">
        <f>IF(M215="Y",J215*K215*Escalation!$B$3,0)</f>
        <v/>
      </c>
      <c r="T215">
        <f>IF(N215="Y",J215*K215*Escalation!$B$4,0)</f>
        <v/>
      </c>
      <c r="U215">
        <f>IF(O215="Y",J215*K215*Escalation!$B$5,0)</f>
        <v/>
      </c>
      <c r="V215">
        <f>IF(P215="Y",J215*K215*Escalation!$B$6,0)</f>
        <v/>
      </c>
      <c r="W215">
        <f>IF(Q215="Y",J215*K215*Escalation!$B$7,0)</f>
        <v/>
      </c>
      <c r="X215">
        <f>SUM(R215:W215)</f>
        <v/>
      </c>
    </row>
    <row r="216">
      <c r="J216">
        <f>IF(C216="FTE",B216*1880,B216)</f>
        <v/>
      </c>
      <c r="K216">
        <f>E216*(1+F216)*(1+G216)*(1+H216)*(1+I216)</f>
        <v/>
      </c>
      <c r="R216">
        <f>IF(L216="Y",J216*K216*Escalation!$B$2,0)</f>
        <v/>
      </c>
      <c r="S216">
        <f>IF(M216="Y",J216*K216*Escalation!$B$3,0)</f>
        <v/>
      </c>
      <c r="T216">
        <f>IF(N216="Y",J216*K216*Escalation!$B$4,0)</f>
        <v/>
      </c>
      <c r="U216">
        <f>IF(O216="Y",J216*K216*Escalation!$B$5,0)</f>
        <v/>
      </c>
      <c r="V216">
        <f>IF(P216="Y",J216*K216*Escalation!$B$6,0)</f>
        <v/>
      </c>
      <c r="W216">
        <f>IF(Q216="Y",J216*K216*Escalation!$B$7,0)</f>
        <v/>
      </c>
      <c r="X216">
        <f>SUM(R216:W216)</f>
        <v/>
      </c>
    </row>
    <row r="217">
      <c r="J217">
        <f>IF(C217="FTE",B217*1880,B217)</f>
        <v/>
      </c>
      <c r="K217">
        <f>E217*(1+F217)*(1+G217)*(1+H217)*(1+I217)</f>
        <v/>
      </c>
      <c r="R217">
        <f>IF(L217="Y",J217*K217*Escalation!$B$2,0)</f>
        <v/>
      </c>
      <c r="S217">
        <f>IF(M217="Y",J217*K217*Escalation!$B$3,0)</f>
        <v/>
      </c>
      <c r="T217">
        <f>IF(N217="Y",J217*K217*Escalation!$B$4,0)</f>
        <v/>
      </c>
      <c r="U217">
        <f>IF(O217="Y",J217*K217*Escalation!$B$5,0)</f>
        <v/>
      </c>
      <c r="V217">
        <f>IF(P217="Y",J217*K217*Escalation!$B$6,0)</f>
        <v/>
      </c>
      <c r="W217">
        <f>IF(Q217="Y",J217*K217*Escalation!$B$7,0)</f>
        <v/>
      </c>
      <c r="X217">
        <f>SUM(R217:W217)</f>
        <v/>
      </c>
    </row>
    <row r="218">
      <c r="J218">
        <f>IF(C218="FTE",B218*1880,B218)</f>
        <v/>
      </c>
      <c r="K218">
        <f>E218*(1+F218)*(1+G218)*(1+H218)*(1+I218)</f>
        <v/>
      </c>
      <c r="R218">
        <f>IF(L218="Y",J218*K218*Escalation!$B$2,0)</f>
        <v/>
      </c>
      <c r="S218">
        <f>IF(M218="Y",J218*K218*Escalation!$B$3,0)</f>
        <v/>
      </c>
      <c r="T218">
        <f>IF(N218="Y",J218*K218*Escalation!$B$4,0)</f>
        <v/>
      </c>
      <c r="U218">
        <f>IF(O218="Y",J218*K218*Escalation!$B$5,0)</f>
        <v/>
      </c>
      <c r="V218">
        <f>IF(P218="Y",J218*K218*Escalation!$B$6,0)</f>
        <v/>
      </c>
      <c r="W218">
        <f>IF(Q218="Y",J218*K218*Escalation!$B$7,0)</f>
        <v/>
      </c>
      <c r="X218">
        <f>SUM(R218:W218)</f>
        <v/>
      </c>
    </row>
    <row r="219">
      <c r="J219">
        <f>IF(C219="FTE",B219*1880,B219)</f>
        <v/>
      </c>
      <c r="K219">
        <f>E219*(1+F219)*(1+G219)*(1+H219)*(1+I219)</f>
        <v/>
      </c>
      <c r="R219">
        <f>IF(L219="Y",J219*K219*Escalation!$B$2,0)</f>
        <v/>
      </c>
      <c r="S219">
        <f>IF(M219="Y",J219*K219*Escalation!$B$3,0)</f>
        <v/>
      </c>
      <c r="T219">
        <f>IF(N219="Y",J219*K219*Escalation!$B$4,0)</f>
        <v/>
      </c>
      <c r="U219">
        <f>IF(O219="Y",J219*K219*Escalation!$B$5,0)</f>
        <v/>
      </c>
      <c r="V219">
        <f>IF(P219="Y",J219*K219*Escalation!$B$6,0)</f>
        <v/>
      </c>
      <c r="W219">
        <f>IF(Q219="Y",J219*K219*Escalation!$B$7,0)</f>
        <v/>
      </c>
      <c r="X219">
        <f>SUM(R219:W219)</f>
        <v/>
      </c>
    </row>
    <row r="220">
      <c r="J220">
        <f>IF(C220="FTE",B220*1880,B220)</f>
        <v/>
      </c>
      <c r="K220">
        <f>E220*(1+F220)*(1+G220)*(1+H220)*(1+I220)</f>
        <v/>
      </c>
      <c r="R220">
        <f>IF(L220="Y",J220*K220*Escalation!$B$2,0)</f>
        <v/>
      </c>
      <c r="S220">
        <f>IF(M220="Y",J220*K220*Escalation!$B$3,0)</f>
        <v/>
      </c>
      <c r="T220">
        <f>IF(N220="Y",J220*K220*Escalation!$B$4,0)</f>
        <v/>
      </c>
      <c r="U220">
        <f>IF(O220="Y",J220*K220*Escalation!$B$5,0)</f>
        <v/>
      </c>
      <c r="V220">
        <f>IF(P220="Y",J220*K220*Escalation!$B$6,0)</f>
        <v/>
      </c>
      <c r="W220">
        <f>IF(Q220="Y",J220*K220*Escalation!$B$7,0)</f>
        <v/>
      </c>
      <c r="X220">
        <f>SUM(R220:W220)</f>
        <v/>
      </c>
    </row>
    <row r="221">
      <c r="J221">
        <f>IF(C221="FTE",B221*1880,B221)</f>
        <v/>
      </c>
      <c r="K221">
        <f>E221*(1+F221)*(1+G221)*(1+H221)*(1+I221)</f>
        <v/>
      </c>
      <c r="R221">
        <f>IF(L221="Y",J221*K221*Escalation!$B$2,0)</f>
        <v/>
      </c>
      <c r="S221">
        <f>IF(M221="Y",J221*K221*Escalation!$B$3,0)</f>
        <v/>
      </c>
      <c r="T221">
        <f>IF(N221="Y",J221*K221*Escalation!$B$4,0)</f>
        <v/>
      </c>
      <c r="U221">
        <f>IF(O221="Y",J221*K221*Escalation!$B$5,0)</f>
        <v/>
      </c>
      <c r="V221">
        <f>IF(P221="Y",J221*K221*Escalation!$B$6,0)</f>
        <v/>
      </c>
      <c r="W221">
        <f>IF(Q221="Y",J221*K221*Escalation!$B$7,0)</f>
        <v/>
      </c>
      <c r="X221">
        <f>SUM(R221:W221)</f>
        <v/>
      </c>
    </row>
    <row r="222">
      <c r="J222">
        <f>IF(C222="FTE",B222*1880,B222)</f>
        <v/>
      </c>
      <c r="K222">
        <f>E222*(1+F222)*(1+G222)*(1+H222)*(1+I222)</f>
        <v/>
      </c>
      <c r="R222">
        <f>IF(L222="Y",J222*K222*Escalation!$B$2,0)</f>
        <v/>
      </c>
      <c r="S222">
        <f>IF(M222="Y",J222*K222*Escalation!$B$3,0)</f>
        <v/>
      </c>
      <c r="T222">
        <f>IF(N222="Y",J222*K222*Escalation!$B$4,0)</f>
        <v/>
      </c>
      <c r="U222">
        <f>IF(O222="Y",J222*K222*Escalation!$B$5,0)</f>
        <v/>
      </c>
      <c r="V222">
        <f>IF(P222="Y",J222*K222*Escalation!$B$6,0)</f>
        <v/>
      </c>
      <c r="W222">
        <f>IF(Q222="Y",J222*K222*Escalation!$B$7,0)</f>
        <v/>
      </c>
      <c r="X222">
        <f>SUM(R222:W222)</f>
        <v/>
      </c>
    </row>
    <row r="223">
      <c r="J223">
        <f>IF(C223="FTE",B223*1880,B223)</f>
        <v/>
      </c>
      <c r="K223">
        <f>E223*(1+F223)*(1+G223)*(1+H223)*(1+I223)</f>
        <v/>
      </c>
      <c r="R223">
        <f>IF(L223="Y",J223*K223*Escalation!$B$2,0)</f>
        <v/>
      </c>
      <c r="S223">
        <f>IF(M223="Y",J223*K223*Escalation!$B$3,0)</f>
        <v/>
      </c>
      <c r="T223">
        <f>IF(N223="Y",J223*K223*Escalation!$B$4,0)</f>
        <v/>
      </c>
      <c r="U223">
        <f>IF(O223="Y",J223*K223*Escalation!$B$5,0)</f>
        <v/>
      </c>
      <c r="V223">
        <f>IF(P223="Y",J223*K223*Escalation!$B$6,0)</f>
        <v/>
      </c>
      <c r="W223">
        <f>IF(Q223="Y",J223*K223*Escalation!$B$7,0)</f>
        <v/>
      </c>
      <c r="X223">
        <f>SUM(R223:W223)</f>
        <v/>
      </c>
    </row>
    <row r="224">
      <c r="J224">
        <f>IF(C224="FTE",B224*1880,B224)</f>
        <v/>
      </c>
      <c r="K224">
        <f>E224*(1+F224)*(1+G224)*(1+H224)*(1+I224)</f>
        <v/>
      </c>
      <c r="R224">
        <f>IF(L224="Y",J224*K224*Escalation!$B$2,0)</f>
        <v/>
      </c>
      <c r="S224">
        <f>IF(M224="Y",J224*K224*Escalation!$B$3,0)</f>
        <v/>
      </c>
      <c r="T224">
        <f>IF(N224="Y",J224*K224*Escalation!$B$4,0)</f>
        <v/>
      </c>
      <c r="U224">
        <f>IF(O224="Y",J224*K224*Escalation!$B$5,0)</f>
        <v/>
      </c>
      <c r="V224">
        <f>IF(P224="Y",J224*K224*Escalation!$B$6,0)</f>
        <v/>
      </c>
      <c r="W224">
        <f>IF(Q224="Y",J224*K224*Escalation!$B$7,0)</f>
        <v/>
      </c>
      <c r="X224">
        <f>SUM(R224:W224)</f>
        <v/>
      </c>
    </row>
    <row r="225">
      <c r="J225">
        <f>IF(C225="FTE",B225*1880,B225)</f>
        <v/>
      </c>
      <c r="K225">
        <f>E225*(1+F225)*(1+G225)*(1+H225)*(1+I225)</f>
        <v/>
      </c>
      <c r="R225">
        <f>IF(L225="Y",J225*K225*Escalation!$B$2,0)</f>
        <v/>
      </c>
      <c r="S225">
        <f>IF(M225="Y",J225*K225*Escalation!$B$3,0)</f>
        <v/>
      </c>
      <c r="T225">
        <f>IF(N225="Y",J225*K225*Escalation!$B$4,0)</f>
        <v/>
      </c>
      <c r="U225">
        <f>IF(O225="Y",J225*K225*Escalation!$B$5,0)</f>
        <v/>
      </c>
      <c r="V225">
        <f>IF(P225="Y",J225*K225*Escalation!$B$6,0)</f>
        <v/>
      </c>
      <c r="W225">
        <f>IF(Q225="Y",J225*K225*Escalation!$B$7,0)</f>
        <v/>
      </c>
      <c r="X225">
        <f>SUM(R225:W225)</f>
        <v/>
      </c>
    </row>
    <row r="226">
      <c r="J226">
        <f>IF(C226="FTE",B226*1880,B226)</f>
        <v/>
      </c>
      <c r="K226">
        <f>E226*(1+F226)*(1+G226)*(1+H226)*(1+I226)</f>
        <v/>
      </c>
      <c r="R226">
        <f>IF(L226="Y",J226*K226*Escalation!$B$2,0)</f>
        <v/>
      </c>
      <c r="S226">
        <f>IF(M226="Y",J226*K226*Escalation!$B$3,0)</f>
        <v/>
      </c>
      <c r="T226">
        <f>IF(N226="Y",J226*K226*Escalation!$B$4,0)</f>
        <v/>
      </c>
      <c r="U226">
        <f>IF(O226="Y",J226*K226*Escalation!$B$5,0)</f>
        <v/>
      </c>
      <c r="V226">
        <f>IF(P226="Y",J226*K226*Escalation!$B$6,0)</f>
        <v/>
      </c>
      <c r="W226">
        <f>IF(Q226="Y",J226*K226*Escalation!$B$7,0)</f>
        <v/>
      </c>
      <c r="X226">
        <f>SUM(R226:W226)</f>
        <v/>
      </c>
    </row>
    <row r="227">
      <c r="J227">
        <f>IF(C227="FTE",B227*1880,B227)</f>
        <v/>
      </c>
      <c r="K227">
        <f>E227*(1+F227)*(1+G227)*(1+H227)*(1+I227)</f>
        <v/>
      </c>
      <c r="R227">
        <f>IF(L227="Y",J227*K227*Escalation!$B$2,0)</f>
        <v/>
      </c>
      <c r="S227">
        <f>IF(M227="Y",J227*K227*Escalation!$B$3,0)</f>
        <v/>
      </c>
      <c r="T227">
        <f>IF(N227="Y",J227*K227*Escalation!$B$4,0)</f>
        <v/>
      </c>
      <c r="U227">
        <f>IF(O227="Y",J227*K227*Escalation!$B$5,0)</f>
        <v/>
      </c>
      <c r="V227">
        <f>IF(P227="Y",J227*K227*Escalation!$B$6,0)</f>
        <v/>
      </c>
      <c r="W227">
        <f>IF(Q227="Y",J227*K227*Escalation!$B$7,0)</f>
        <v/>
      </c>
      <c r="X227">
        <f>SUM(R227:W227)</f>
        <v/>
      </c>
    </row>
    <row r="228">
      <c r="J228">
        <f>IF(C228="FTE",B228*1880,B228)</f>
        <v/>
      </c>
      <c r="K228">
        <f>E228*(1+F228)*(1+G228)*(1+H228)*(1+I228)</f>
        <v/>
      </c>
      <c r="R228">
        <f>IF(L228="Y",J228*K228*Escalation!$B$2,0)</f>
        <v/>
      </c>
      <c r="S228">
        <f>IF(M228="Y",J228*K228*Escalation!$B$3,0)</f>
        <v/>
      </c>
      <c r="T228">
        <f>IF(N228="Y",J228*K228*Escalation!$B$4,0)</f>
        <v/>
      </c>
      <c r="U228">
        <f>IF(O228="Y",J228*K228*Escalation!$B$5,0)</f>
        <v/>
      </c>
      <c r="V228">
        <f>IF(P228="Y",J228*K228*Escalation!$B$6,0)</f>
        <v/>
      </c>
      <c r="W228">
        <f>IF(Q228="Y",J228*K228*Escalation!$B$7,0)</f>
        <v/>
      </c>
      <c r="X228">
        <f>SUM(R228:W228)</f>
        <v/>
      </c>
    </row>
    <row r="229">
      <c r="J229">
        <f>IF(C229="FTE",B229*1880,B229)</f>
        <v/>
      </c>
      <c r="K229">
        <f>E229*(1+F229)*(1+G229)*(1+H229)*(1+I229)</f>
        <v/>
      </c>
      <c r="R229">
        <f>IF(L229="Y",J229*K229*Escalation!$B$2,0)</f>
        <v/>
      </c>
      <c r="S229">
        <f>IF(M229="Y",J229*K229*Escalation!$B$3,0)</f>
        <v/>
      </c>
      <c r="T229">
        <f>IF(N229="Y",J229*K229*Escalation!$B$4,0)</f>
        <v/>
      </c>
      <c r="U229">
        <f>IF(O229="Y",J229*K229*Escalation!$B$5,0)</f>
        <v/>
      </c>
      <c r="V229">
        <f>IF(P229="Y",J229*K229*Escalation!$B$6,0)</f>
        <v/>
      </c>
      <c r="W229">
        <f>IF(Q229="Y",J229*K229*Escalation!$B$7,0)</f>
        <v/>
      </c>
      <c r="X229">
        <f>SUM(R229:W229)</f>
        <v/>
      </c>
    </row>
    <row r="230">
      <c r="J230">
        <f>IF(C230="FTE",B230*1880,B230)</f>
        <v/>
      </c>
      <c r="K230">
        <f>E230*(1+F230)*(1+G230)*(1+H230)*(1+I230)</f>
        <v/>
      </c>
      <c r="R230">
        <f>IF(L230="Y",J230*K230*Escalation!$B$2,0)</f>
        <v/>
      </c>
      <c r="S230">
        <f>IF(M230="Y",J230*K230*Escalation!$B$3,0)</f>
        <v/>
      </c>
      <c r="T230">
        <f>IF(N230="Y",J230*K230*Escalation!$B$4,0)</f>
        <v/>
      </c>
      <c r="U230">
        <f>IF(O230="Y",J230*K230*Escalation!$B$5,0)</f>
        <v/>
      </c>
      <c r="V230">
        <f>IF(P230="Y",J230*K230*Escalation!$B$6,0)</f>
        <v/>
      </c>
      <c r="W230">
        <f>IF(Q230="Y",J230*K230*Escalation!$B$7,0)</f>
        <v/>
      </c>
      <c r="X230">
        <f>SUM(R230:W230)</f>
        <v/>
      </c>
    </row>
    <row r="231">
      <c r="J231">
        <f>IF(C231="FTE",B231*1880,B231)</f>
        <v/>
      </c>
      <c r="K231">
        <f>E231*(1+F231)*(1+G231)*(1+H231)*(1+I231)</f>
        <v/>
      </c>
      <c r="R231">
        <f>IF(L231="Y",J231*K231*Escalation!$B$2,0)</f>
        <v/>
      </c>
      <c r="S231">
        <f>IF(M231="Y",J231*K231*Escalation!$B$3,0)</f>
        <v/>
      </c>
      <c r="T231">
        <f>IF(N231="Y",J231*K231*Escalation!$B$4,0)</f>
        <v/>
      </c>
      <c r="U231">
        <f>IF(O231="Y",J231*K231*Escalation!$B$5,0)</f>
        <v/>
      </c>
      <c r="V231">
        <f>IF(P231="Y",J231*K231*Escalation!$B$6,0)</f>
        <v/>
      </c>
      <c r="W231">
        <f>IF(Q231="Y",J231*K231*Escalation!$B$7,0)</f>
        <v/>
      </c>
      <c r="X231">
        <f>SUM(R231:W231)</f>
        <v/>
      </c>
    </row>
    <row r="232">
      <c r="J232">
        <f>IF(C232="FTE",B232*1880,B232)</f>
        <v/>
      </c>
      <c r="K232">
        <f>E232*(1+F232)*(1+G232)*(1+H232)*(1+I232)</f>
        <v/>
      </c>
      <c r="R232">
        <f>IF(L232="Y",J232*K232*Escalation!$B$2,0)</f>
        <v/>
      </c>
      <c r="S232">
        <f>IF(M232="Y",J232*K232*Escalation!$B$3,0)</f>
        <v/>
      </c>
      <c r="T232">
        <f>IF(N232="Y",J232*K232*Escalation!$B$4,0)</f>
        <v/>
      </c>
      <c r="U232">
        <f>IF(O232="Y",J232*K232*Escalation!$B$5,0)</f>
        <v/>
      </c>
      <c r="V232">
        <f>IF(P232="Y",J232*K232*Escalation!$B$6,0)</f>
        <v/>
      </c>
      <c r="W232">
        <f>IF(Q232="Y",J232*K232*Escalation!$B$7,0)</f>
        <v/>
      </c>
      <c r="X232">
        <f>SUM(R232:W232)</f>
        <v/>
      </c>
    </row>
    <row r="233">
      <c r="J233">
        <f>IF(C233="FTE",B233*1880,B233)</f>
        <v/>
      </c>
      <c r="K233">
        <f>E233*(1+F233)*(1+G233)*(1+H233)*(1+I233)</f>
        <v/>
      </c>
      <c r="R233">
        <f>IF(L233="Y",J233*K233*Escalation!$B$2,0)</f>
        <v/>
      </c>
      <c r="S233">
        <f>IF(M233="Y",J233*K233*Escalation!$B$3,0)</f>
        <v/>
      </c>
      <c r="T233">
        <f>IF(N233="Y",J233*K233*Escalation!$B$4,0)</f>
        <v/>
      </c>
      <c r="U233">
        <f>IF(O233="Y",J233*K233*Escalation!$B$5,0)</f>
        <v/>
      </c>
      <c r="V233">
        <f>IF(P233="Y",J233*K233*Escalation!$B$6,0)</f>
        <v/>
      </c>
      <c r="W233">
        <f>IF(Q233="Y",J233*K233*Escalation!$B$7,0)</f>
        <v/>
      </c>
      <c r="X233">
        <f>SUM(R233:W233)</f>
        <v/>
      </c>
    </row>
    <row r="234">
      <c r="J234">
        <f>IF(C234="FTE",B234*1880,B234)</f>
        <v/>
      </c>
      <c r="K234">
        <f>E234*(1+F234)*(1+G234)*(1+H234)*(1+I234)</f>
        <v/>
      </c>
      <c r="R234">
        <f>IF(L234="Y",J234*K234*Escalation!$B$2,0)</f>
        <v/>
      </c>
      <c r="S234">
        <f>IF(M234="Y",J234*K234*Escalation!$B$3,0)</f>
        <v/>
      </c>
      <c r="T234">
        <f>IF(N234="Y",J234*K234*Escalation!$B$4,0)</f>
        <v/>
      </c>
      <c r="U234">
        <f>IF(O234="Y",J234*K234*Escalation!$B$5,0)</f>
        <v/>
      </c>
      <c r="V234">
        <f>IF(P234="Y",J234*K234*Escalation!$B$6,0)</f>
        <v/>
      </c>
      <c r="W234">
        <f>IF(Q234="Y",J234*K234*Escalation!$B$7,0)</f>
        <v/>
      </c>
      <c r="X234">
        <f>SUM(R234:W234)</f>
        <v/>
      </c>
    </row>
    <row r="235">
      <c r="J235">
        <f>IF(C235="FTE",B235*1880,B235)</f>
        <v/>
      </c>
      <c r="K235">
        <f>E235*(1+F235)*(1+G235)*(1+H235)*(1+I235)</f>
        <v/>
      </c>
      <c r="R235">
        <f>IF(L235="Y",J235*K235*Escalation!$B$2,0)</f>
        <v/>
      </c>
      <c r="S235">
        <f>IF(M235="Y",J235*K235*Escalation!$B$3,0)</f>
        <v/>
      </c>
      <c r="T235">
        <f>IF(N235="Y",J235*K235*Escalation!$B$4,0)</f>
        <v/>
      </c>
      <c r="U235">
        <f>IF(O235="Y",J235*K235*Escalation!$B$5,0)</f>
        <v/>
      </c>
      <c r="V235">
        <f>IF(P235="Y",J235*K235*Escalation!$B$6,0)</f>
        <v/>
      </c>
      <c r="W235">
        <f>IF(Q235="Y",J235*K235*Escalation!$B$7,0)</f>
        <v/>
      </c>
      <c r="X235">
        <f>SUM(R235:W235)</f>
        <v/>
      </c>
    </row>
    <row r="236">
      <c r="J236">
        <f>IF(C236="FTE",B236*1880,B236)</f>
        <v/>
      </c>
      <c r="K236">
        <f>E236*(1+F236)*(1+G236)*(1+H236)*(1+I236)</f>
        <v/>
      </c>
      <c r="R236">
        <f>IF(L236="Y",J236*K236*Escalation!$B$2,0)</f>
        <v/>
      </c>
      <c r="S236">
        <f>IF(M236="Y",J236*K236*Escalation!$B$3,0)</f>
        <v/>
      </c>
      <c r="T236">
        <f>IF(N236="Y",J236*K236*Escalation!$B$4,0)</f>
        <v/>
      </c>
      <c r="U236">
        <f>IF(O236="Y",J236*K236*Escalation!$B$5,0)</f>
        <v/>
      </c>
      <c r="V236">
        <f>IF(P236="Y",J236*K236*Escalation!$B$6,0)</f>
        <v/>
      </c>
      <c r="W236">
        <f>IF(Q236="Y",J236*K236*Escalation!$B$7,0)</f>
        <v/>
      </c>
      <c r="X236">
        <f>SUM(R236:W236)</f>
        <v/>
      </c>
    </row>
    <row r="237">
      <c r="J237">
        <f>IF(C237="FTE",B237*1880,B237)</f>
        <v/>
      </c>
      <c r="K237">
        <f>E237*(1+F237)*(1+G237)*(1+H237)*(1+I237)</f>
        <v/>
      </c>
      <c r="R237">
        <f>IF(L237="Y",J237*K237*Escalation!$B$2,0)</f>
        <v/>
      </c>
      <c r="S237">
        <f>IF(M237="Y",J237*K237*Escalation!$B$3,0)</f>
        <v/>
      </c>
      <c r="T237">
        <f>IF(N237="Y",J237*K237*Escalation!$B$4,0)</f>
        <v/>
      </c>
      <c r="U237">
        <f>IF(O237="Y",J237*K237*Escalation!$B$5,0)</f>
        <v/>
      </c>
      <c r="V237">
        <f>IF(P237="Y",J237*K237*Escalation!$B$6,0)</f>
        <v/>
      </c>
      <c r="W237">
        <f>IF(Q237="Y",J237*K237*Escalation!$B$7,0)</f>
        <v/>
      </c>
      <c r="X237">
        <f>SUM(R237:W237)</f>
        <v/>
      </c>
    </row>
    <row r="238">
      <c r="J238">
        <f>IF(C238="FTE",B238*1880,B238)</f>
        <v/>
      </c>
      <c r="K238">
        <f>E238*(1+F238)*(1+G238)*(1+H238)*(1+I238)</f>
        <v/>
      </c>
      <c r="R238">
        <f>IF(L238="Y",J238*K238*Escalation!$B$2,0)</f>
        <v/>
      </c>
      <c r="S238">
        <f>IF(M238="Y",J238*K238*Escalation!$B$3,0)</f>
        <v/>
      </c>
      <c r="T238">
        <f>IF(N238="Y",J238*K238*Escalation!$B$4,0)</f>
        <v/>
      </c>
      <c r="U238">
        <f>IF(O238="Y",J238*K238*Escalation!$B$5,0)</f>
        <v/>
      </c>
      <c r="V238">
        <f>IF(P238="Y",J238*K238*Escalation!$B$6,0)</f>
        <v/>
      </c>
      <c r="W238">
        <f>IF(Q238="Y",J238*K238*Escalation!$B$7,0)</f>
        <v/>
      </c>
      <c r="X238">
        <f>SUM(R238:W238)</f>
        <v/>
      </c>
    </row>
    <row r="239">
      <c r="J239">
        <f>IF(C239="FTE",B239*1880,B239)</f>
        <v/>
      </c>
      <c r="K239">
        <f>E239*(1+F239)*(1+G239)*(1+H239)*(1+I239)</f>
        <v/>
      </c>
      <c r="R239">
        <f>IF(L239="Y",J239*K239*Escalation!$B$2,0)</f>
        <v/>
      </c>
      <c r="S239">
        <f>IF(M239="Y",J239*K239*Escalation!$B$3,0)</f>
        <v/>
      </c>
      <c r="T239">
        <f>IF(N239="Y",J239*K239*Escalation!$B$4,0)</f>
        <v/>
      </c>
      <c r="U239">
        <f>IF(O239="Y",J239*K239*Escalation!$B$5,0)</f>
        <v/>
      </c>
      <c r="V239">
        <f>IF(P239="Y",J239*K239*Escalation!$B$6,0)</f>
        <v/>
      </c>
      <c r="W239">
        <f>IF(Q239="Y",J239*K239*Escalation!$B$7,0)</f>
        <v/>
      </c>
      <c r="X239">
        <f>SUM(R239:W239)</f>
        <v/>
      </c>
    </row>
    <row r="240">
      <c r="J240">
        <f>IF(C240="FTE",B240*1880,B240)</f>
        <v/>
      </c>
      <c r="K240">
        <f>E240*(1+F240)*(1+G240)*(1+H240)*(1+I240)</f>
        <v/>
      </c>
      <c r="R240">
        <f>IF(L240="Y",J240*K240*Escalation!$B$2,0)</f>
        <v/>
      </c>
      <c r="S240">
        <f>IF(M240="Y",J240*K240*Escalation!$B$3,0)</f>
        <v/>
      </c>
      <c r="T240">
        <f>IF(N240="Y",J240*K240*Escalation!$B$4,0)</f>
        <v/>
      </c>
      <c r="U240">
        <f>IF(O240="Y",J240*K240*Escalation!$B$5,0)</f>
        <v/>
      </c>
      <c r="V240">
        <f>IF(P240="Y",J240*K240*Escalation!$B$6,0)</f>
        <v/>
      </c>
      <c r="W240">
        <f>IF(Q240="Y",J240*K240*Escalation!$B$7,0)</f>
        <v/>
      </c>
      <c r="X240">
        <f>SUM(R240:W240)</f>
        <v/>
      </c>
    </row>
    <row r="241">
      <c r="J241">
        <f>IF(C241="FTE",B241*1880,B241)</f>
        <v/>
      </c>
      <c r="K241">
        <f>E241*(1+F241)*(1+G241)*(1+H241)*(1+I241)</f>
        <v/>
      </c>
      <c r="R241">
        <f>IF(L241="Y",J241*K241*Escalation!$B$2,0)</f>
        <v/>
      </c>
      <c r="S241">
        <f>IF(M241="Y",J241*K241*Escalation!$B$3,0)</f>
        <v/>
      </c>
      <c r="T241">
        <f>IF(N241="Y",J241*K241*Escalation!$B$4,0)</f>
        <v/>
      </c>
      <c r="U241">
        <f>IF(O241="Y",J241*K241*Escalation!$B$5,0)</f>
        <v/>
      </c>
      <c r="V241">
        <f>IF(P241="Y",J241*K241*Escalation!$B$6,0)</f>
        <v/>
      </c>
      <c r="W241">
        <f>IF(Q241="Y",J241*K241*Escalation!$B$7,0)</f>
        <v/>
      </c>
      <c r="X241">
        <f>SUM(R241:W241)</f>
        <v/>
      </c>
    </row>
    <row r="242">
      <c r="J242">
        <f>IF(C242="FTE",B242*1880,B242)</f>
        <v/>
      </c>
      <c r="K242">
        <f>E242*(1+F242)*(1+G242)*(1+H242)*(1+I242)</f>
        <v/>
      </c>
      <c r="R242">
        <f>IF(L242="Y",J242*K242*Escalation!$B$2,0)</f>
        <v/>
      </c>
      <c r="S242">
        <f>IF(M242="Y",J242*K242*Escalation!$B$3,0)</f>
        <v/>
      </c>
      <c r="T242">
        <f>IF(N242="Y",J242*K242*Escalation!$B$4,0)</f>
        <v/>
      </c>
      <c r="U242">
        <f>IF(O242="Y",J242*K242*Escalation!$B$5,0)</f>
        <v/>
      </c>
      <c r="V242">
        <f>IF(P242="Y",J242*K242*Escalation!$B$6,0)</f>
        <v/>
      </c>
      <c r="W242">
        <f>IF(Q242="Y",J242*K242*Escalation!$B$7,0)</f>
        <v/>
      </c>
      <c r="X242">
        <f>SUM(R242:W242)</f>
        <v/>
      </c>
    </row>
    <row r="243">
      <c r="J243">
        <f>IF(C243="FTE",B243*1880,B243)</f>
        <v/>
      </c>
      <c r="K243">
        <f>E243*(1+F243)*(1+G243)*(1+H243)*(1+I243)</f>
        <v/>
      </c>
      <c r="R243">
        <f>IF(L243="Y",J243*K243*Escalation!$B$2,0)</f>
        <v/>
      </c>
      <c r="S243">
        <f>IF(M243="Y",J243*K243*Escalation!$B$3,0)</f>
        <v/>
      </c>
      <c r="T243">
        <f>IF(N243="Y",J243*K243*Escalation!$B$4,0)</f>
        <v/>
      </c>
      <c r="U243">
        <f>IF(O243="Y",J243*K243*Escalation!$B$5,0)</f>
        <v/>
      </c>
      <c r="V243">
        <f>IF(P243="Y",J243*K243*Escalation!$B$6,0)</f>
        <v/>
      </c>
      <c r="W243">
        <f>IF(Q243="Y",J243*K243*Escalation!$B$7,0)</f>
        <v/>
      </c>
      <c r="X243">
        <f>SUM(R243:W243)</f>
        <v/>
      </c>
    </row>
    <row r="244">
      <c r="J244">
        <f>IF(C244="FTE",B244*1880,B244)</f>
        <v/>
      </c>
      <c r="K244">
        <f>E244*(1+F244)*(1+G244)*(1+H244)*(1+I244)</f>
        <v/>
      </c>
      <c r="R244">
        <f>IF(L244="Y",J244*K244*Escalation!$B$2,0)</f>
        <v/>
      </c>
      <c r="S244">
        <f>IF(M244="Y",J244*K244*Escalation!$B$3,0)</f>
        <v/>
      </c>
      <c r="T244">
        <f>IF(N244="Y",J244*K244*Escalation!$B$4,0)</f>
        <v/>
      </c>
      <c r="U244">
        <f>IF(O244="Y",J244*K244*Escalation!$B$5,0)</f>
        <v/>
      </c>
      <c r="V244">
        <f>IF(P244="Y",J244*K244*Escalation!$B$6,0)</f>
        <v/>
      </c>
      <c r="W244">
        <f>IF(Q244="Y",J244*K244*Escalation!$B$7,0)</f>
        <v/>
      </c>
      <c r="X244">
        <f>SUM(R244:W244)</f>
        <v/>
      </c>
    </row>
    <row r="245">
      <c r="J245">
        <f>IF(C245="FTE",B245*1880,B245)</f>
        <v/>
      </c>
      <c r="K245">
        <f>E245*(1+F245)*(1+G245)*(1+H245)*(1+I245)</f>
        <v/>
      </c>
      <c r="R245">
        <f>IF(L245="Y",J245*K245*Escalation!$B$2,0)</f>
        <v/>
      </c>
      <c r="S245">
        <f>IF(M245="Y",J245*K245*Escalation!$B$3,0)</f>
        <v/>
      </c>
      <c r="T245">
        <f>IF(N245="Y",J245*K245*Escalation!$B$4,0)</f>
        <v/>
      </c>
      <c r="U245">
        <f>IF(O245="Y",J245*K245*Escalation!$B$5,0)</f>
        <v/>
      </c>
      <c r="V245">
        <f>IF(P245="Y",J245*K245*Escalation!$B$6,0)</f>
        <v/>
      </c>
      <c r="W245">
        <f>IF(Q245="Y",J245*K245*Escalation!$B$7,0)</f>
        <v/>
      </c>
      <c r="X245">
        <f>SUM(R245:W245)</f>
        <v/>
      </c>
    </row>
    <row r="246">
      <c r="J246">
        <f>IF(C246="FTE",B246*1880,B246)</f>
        <v/>
      </c>
      <c r="K246">
        <f>E246*(1+F246)*(1+G246)*(1+H246)*(1+I246)</f>
        <v/>
      </c>
      <c r="R246">
        <f>IF(L246="Y",J246*K246*Escalation!$B$2,0)</f>
        <v/>
      </c>
      <c r="S246">
        <f>IF(M246="Y",J246*K246*Escalation!$B$3,0)</f>
        <v/>
      </c>
      <c r="T246">
        <f>IF(N246="Y",J246*K246*Escalation!$B$4,0)</f>
        <v/>
      </c>
      <c r="U246">
        <f>IF(O246="Y",J246*K246*Escalation!$B$5,0)</f>
        <v/>
      </c>
      <c r="V246">
        <f>IF(P246="Y",J246*K246*Escalation!$B$6,0)</f>
        <v/>
      </c>
      <c r="W246">
        <f>IF(Q246="Y",J246*K246*Escalation!$B$7,0)</f>
        <v/>
      </c>
      <c r="X246">
        <f>SUM(R246:W246)</f>
        <v/>
      </c>
    </row>
    <row r="247">
      <c r="J247">
        <f>IF(C247="FTE",B247*1880,B247)</f>
        <v/>
      </c>
      <c r="K247">
        <f>E247*(1+F247)*(1+G247)*(1+H247)*(1+I247)</f>
        <v/>
      </c>
      <c r="R247">
        <f>IF(L247="Y",J247*K247*Escalation!$B$2,0)</f>
        <v/>
      </c>
      <c r="S247">
        <f>IF(M247="Y",J247*K247*Escalation!$B$3,0)</f>
        <v/>
      </c>
      <c r="T247">
        <f>IF(N247="Y",J247*K247*Escalation!$B$4,0)</f>
        <v/>
      </c>
      <c r="U247">
        <f>IF(O247="Y",J247*K247*Escalation!$B$5,0)</f>
        <v/>
      </c>
      <c r="V247">
        <f>IF(P247="Y",J247*K247*Escalation!$B$6,0)</f>
        <v/>
      </c>
      <c r="W247">
        <f>IF(Q247="Y",J247*K247*Escalation!$B$7,0)</f>
        <v/>
      </c>
      <c r="X247">
        <f>SUM(R247:W247)</f>
        <v/>
      </c>
    </row>
    <row r="248">
      <c r="J248">
        <f>IF(C248="FTE",B248*1880,B248)</f>
        <v/>
      </c>
      <c r="K248">
        <f>E248*(1+F248)*(1+G248)*(1+H248)*(1+I248)</f>
        <v/>
      </c>
      <c r="R248">
        <f>IF(L248="Y",J248*K248*Escalation!$B$2,0)</f>
        <v/>
      </c>
      <c r="S248">
        <f>IF(M248="Y",J248*K248*Escalation!$B$3,0)</f>
        <v/>
      </c>
      <c r="T248">
        <f>IF(N248="Y",J248*K248*Escalation!$B$4,0)</f>
        <v/>
      </c>
      <c r="U248">
        <f>IF(O248="Y",J248*K248*Escalation!$B$5,0)</f>
        <v/>
      </c>
      <c r="V248">
        <f>IF(P248="Y",J248*K248*Escalation!$B$6,0)</f>
        <v/>
      </c>
      <c r="W248">
        <f>IF(Q248="Y",J248*K248*Escalation!$B$7,0)</f>
        <v/>
      </c>
      <c r="X248">
        <f>SUM(R248:W248)</f>
        <v/>
      </c>
    </row>
    <row r="249">
      <c r="J249">
        <f>IF(C249="FTE",B249*1880,B249)</f>
        <v/>
      </c>
      <c r="K249">
        <f>E249*(1+F249)*(1+G249)*(1+H249)*(1+I249)</f>
        <v/>
      </c>
      <c r="R249">
        <f>IF(L249="Y",J249*K249*Escalation!$B$2,0)</f>
        <v/>
      </c>
      <c r="S249">
        <f>IF(M249="Y",J249*K249*Escalation!$B$3,0)</f>
        <v/>
      </c>
      <c r="T249">
        <f>IF(N249="Y",J249*K249*Escalation!$B$4,0)</f>
        <v/>
      </c>
      <c r="U249">
        <f>IF(O249="Y",J249*K249*Escalation!$B$5,0)</f>
        <v/>
      </c>
      <c r="V249">
        <f>IF(P249="Y",J249*K249*Escalation!$B$6,0)</f>
        <v/>
      </c>
      <c r="W249">
        <f>IF(Q249="Y",J249*K249*Escalation!$B$7,0)</f>
        <v/>
      </c>
      <c r="X249">
        <f>SUM(R249:W249)</f>
        <v/>
      </c>
    </row>
    <row r="250">
      <c r="J250">
        <f>IF(C250="FTE",B250*1880,B250)</f>
        <v/>
      </c>
      <c r="K250">
        <f>E250*(1+F250)*(1+G250)*(1+H250)*(1+I250)</f>
        <v/>
      </c>
      <c r="R250">
        <f>IF(L250="Y",J250*K250*Escalation!$B$2,0)</f>
        <v/>
      </c>
      <c r="S250">
        <f>IF(M250="Y",J250*K250*Escalation!$B$3,0)</f>
        <v/>
      </c>
      <c r="T250">
        <f>IF(N250="Y",J250*K250*Escalation!$B$4,0)</f>
        <v/>
      </c>
      <c r="U250">
        <f>IF(O250="Y",J250*K250*Escalation!$B$5,0)</f>
        <v/>
      </c>
      <c r="V250">
        <f>IF(P250="Y",J250*K250*Escalation!$B$6,0)</f>
        <v/>
      </c>
      <c r="W250">
        <f>IF(Q250="Y",J250*K250*Escalation!$B$7,0)</f>
        <v/>
      </c>
      <c r="X250">
        <f>SUM(R250:W250)</f>
        <v/>
      </c>
    </row>
    <row r="251">
      <c r="J251">
        <f>IF(C251="FTE",B251*1880,B251)</f>
        <v/>
      </c>
      <c r="K251">
        <f>E251*(1+F251)*(1+G251)*(1+H251)*(1+I251)</f>
        <v/>
      </c>
      <c r="R251">
        <f>IF(L251="Y",J251*K251*Escalation!$B$2,0)</f>
        <v/>
      </c>
      <c r="S251">
        <f>IF(M251="Y",J251*K251*Escalation!$B$3,0)</f>
        <v/>
      </c>
      <c r="T251">
        <f>IF(N251="Y",J251*K251*Escalation!$B$4,0)</f>
        <v/>
      </c>
      <c r="U251">
        <f>IF(O251="Y",J251*K251*Escalation!$B$5,0)</f>
        <v/>
      </c>
      <c r="V251">
        <f>IF(P251="Y",J251*K251*Escalation!$B$6,0)</f>
        <v/>
      </c>
      <c r="W251">
        <f>IF(Q251="Y",J251*K251*Escalation!$B$7,0)</f>
        <v/>
      </c>
      <c r="X251">
        <f>SUM(R251:W251)</f>
        <v/>
      </c>
    </row>
    <row r="252">
      <c r="J252">
        <f>IF(C252="FTE",B252*1880,B252)</f>
        <v/>
      </c>
      <c r="K252">
        <f>E252*(1+F252)*(1+G252)*(1+H252)*(1+I252)</f>
        <v/>
      </c>
      <c r="R252">
        <f>IF(L252="Y",J252*K252*Escalation!$B$2,0)</f>
        <v/>
      </c>
      <c r="S252">
        <f>IF(M252="Y",J252*K252*Escalation!$B$3,0)</f>
        <v/>
      </c>
      <c r="T252">
        <f>IF(N252="Y",J252*K252*Escalation!$B$4,0)</f>
        <v/>
      </c>
      <c r="U252">
        <f>IF(O252="Y",J252*K252*Escalation!$B$5,0)</f>
        <v/>
      </c>
      <c r="V252">
        <f>IF(P252="Y",J252*K252*Escalation!$B$6,0)</f>
        <v/>
      </c>
      <c r="W252">
        <f>IF(Q252="Y",J252*K252*Escalation!$B$7,0)</f>
        <v/>
      </c>
      <c r="X252">
        <f>SUM(R252:W252)</f>
        <v/>
      </c>
    </row>
    <row r="253">
      <c r="J253">
        <f>IF(C253="FTE",B253*1880,B253)</f>
        <v/>
      </c>
      <c r="K253">
        <f>E253*(1+F253)*(1+G253)*(1+H253)*(1+I253)</f>
        <v/>
      </c>
      <c r="R253">
        <f>IF(L253="Y",J253*K253*Escalation!$B$2,0)</f>
        <v/>
      </c>
      <c r="S253">
        <f>IF(M253="Y",J253*K253*Escalation!$B$3,0)</f>
        <v/>
      </c>
      <c r="T253">
        <f>IF(N253="Y",J253*K253*Escalation!$B$4,0)</f>
        <v/>
      </c>
      <c r="U253">
        <f>IF(O253="Y",J253*K253*Escalation!$B$5,0)</f>
        <v/>
      </c>
      <c r="V253">
        <f>IF(P253="Y",J253*K253*Escalation!$B$6,0)</f>
        <v/>
      </c>
      <c r="W253">
        <f>IF(Q253="Y",J253*K253*Escalation!$B$7,0)</f>
        <v/>
      </c>
      <c r="X253">
        <f>SUM(R253:W253)</f>
        <v/>
      </c>
    </row>
    <row r="254">
      <c r="J254">
        <f>IF(C254="FTE",B254*1880,B254)</f>
        <v/>
      </c>
      <c r="K254">
        <f>E254*(1+F254)*(1+G254)*(1+H254)*(1+I254)</f>
        <v/>
      </c>
      <c r="R254">
        <f>IF(L254="Y",J254*K254*Escalation!$B$2,0)</f>
        <v/>
      </c>
      <c r="S254">
        <f>IF(M254="Y",J254*K254*Escalation!$B$3,0)</f>
        <v/>
      </c>
      <c r="T254">
        <f>IF(N254="Y",J254*K254*Escalation!$B$4,0)</f>
        <v/>
      </c>
      <c r="U254">
        <f>IF(O254="Y",J254*K254*Escalation!$B$5,0)</f>
        <v/>
      </c>
      <c r="V254">
        <f>IF(P254="Y",J254*K254*Escalation!$B$6,0)</f>
        <v/>
      </c>
      <c r="W254">
        <f>IF(Q254="Y",J254*K254*Escalation!$B$7,0)</f>
        <v/>
      </c>
      <c r="X254">
        <f>SUM(R254:W254)</f>
        <v/>
      </c>
    </row>
    <row r="255">
      <c r="J255">
        <f>IF(C255="FTE",B255*1880,B255)</f>
        <v/>
      </c>
      <c r="K255">
        <f>E255*(1+F255)*(1+G255)*(1+H255)*(1+I255)</f>
        <v/>
      </c>
      <c r="R255">
        <f>IF(L255="Y",J255*K255*Escalation!$B$2,0)</f>
        <v/>
      </c>
      <c r="S255">
        <f>IF(M255="Y",J255*K255*Escalation!$B$3,0)</f>
        <v/>
      </c>
      <c r="T255">
        <f>IF(N255="Y",J255*K255*Escalation!$B$4,0)</f>
        <v/>
      </c>
      <c r="U255">
        <f>IF(O255="Y",J255*K255*Escalation!$B$5,0)</f>
        <v/>
      </c>
      <c r="V255">
        <f>IF(P255="Y",J255*K255*Escalation!$B$6,0)</f>
        <v/>
      </c>
      <c r="W255">
        <f>IF(Q255="Y",J255*K255*Escalation!$B$7,0)</f>
        <v/>
      </c>
      <c r="X255">
        <f>SUM(R255:W255)</f>
        <v/>
      </c>
    </row>
    <row r="256">
      <c r="J256">
        <f>IF(C256="FTE",B256*1880,B256)</f>
        <v/>
      </c>
      <c r="K256">
        <f>E256*(1+F256)*(1+G256)*(1+H256)*(1+I256)</f>
        <v/>
      </c>
      <c r="R256">
        <f>IF(L256="Y",J256*K256*Escalation!$B$2,0)</f>
        <v/>
      </c>
      <c r="S256">
        <f>IF(M256="Y",J256*K256*Escalation!$B$3,0)</f>
        <v/>
      </c>
      <c r="T256">
        <f>IF(N256="Y",J256*K256*Escalation!$B$4,0)</f>
        <v/>
      </c>
      <c r="U256">
        <f>IF(O256="Y",J256*K256*Escalation!$B$5,0)</f>
        <v/>
      </c>
      <c r="V256">
        <f>IF(P256="Y",J256*K256*Escalation!$B$6,0)</f>
        <v/>
      </c>
      <c r="W256">
        <f>IF(Q256="Y",J256*K256*Escalation!$B$7,0)</f>
        <v/>
      </c>
      <c r="X256">
        <f>SUM(R256:W256)</f>
        <v/>
      </c>
    </row>
    <row r="257">
      <c r="J257">
        <f>IF(C257="FTE",B257*1880,B257)</f>
        <v/>
      </c>
      <c r="K257">
        <f>E257*(1+F257)*(1+G257)*(1+H257)*(1+I257)</f>
        <v/>
      </c>
      <c r="R257">
        <f>IF(L257="Y",J257*K257*Escalation!$B$2,0)</f>
        <v/>
      </c>
      <c r="S257">
        <f>IF(M257="Y",J257*K257*Escalation!$B$3,0)</f>
        <v/>
      </c>
      <c r="T257">
        <f>IF(N257="Y",J257*K257*Escalation!$B$4,0)</f>
        <v/>
      </c>
      <c r="U257">
        <f>IF(O257="Y",J257*K257*Escalation!$B$5,0)</f>
        <v/>
      </c>
      <c r="V257">
        <f>IF(P257="Y",J257*K257*Escalation!$B$6,0)</f>
        <v/>
      </c>
      <c r="W257">
        <f>IF(Q257="Y",J257*K257*Escalation!$B$7,0)</f>
        <v/>
      </c>
      <c r="X257">
        <f>SUM(R257:W257)</f>
        <v/>
      </c>
    </row>
    <row r="258">
      <c r="J258">
        <f>IF(C258="FTE",B258*1880,B258)</f>
        <v/>
      </c>
      <c r="K258">
        <f>E258*(1+F258)*(1+G258)*(1+H258)*(1+I258)</f>
        <v/>
      </c>
      <c r="R258">
        <f>IF(L258="Y",J258*K258*Escalation!$B$2,0)</f>
        <v/>
      </c>
      <c r="S258">
        <f>IF(M258="Y",J258*K258*Escalation!$B$3,0)</f>
        <v/>
      </c>
      <c r="T258">
        <f>IF(N258="Y",J258*K258*Escalation!$B$4,0)</f>
        <v/>
      </c>
      <c r="U258">
        <f>IF(O258="Y",J258*K258*Escalation!$B$5,0)</f>
        <v/>
      </c>
      <c r="V258">
        <f>IF(P258="Y",J258*K258*Escalation!$B$6,0)</f>
        <v/>
      </c>
      <c r="W258">
        <f>IF(Q258="Y",J258*K258*Escalation!$B$7,0)</f>
        <v/>
      </c>
      <c r="X258">
        <f>SUM(R258:W258)</f>
        <v/>
      </c>
    </row>
    <row r="259">
      <c r="J259">
        <f>IF(C259="FTE",B259*1880,B259)</f>
        <v/>
      </c>
      <c r="K259">
        <f>E259*(1+F259)*(1+G259)*(1+H259)*(1+I259)</f>
        <v/>
      </c>
      <c r="R259">
        <f>IF(L259="Y",J259*K259*Escalation!$B$2,0)</f>
        <v/>
      </c>
      <c r="S259">
        <f>IF(M259="Y",J259*K259*Escalation!$B$3,0)</f>
        <v/>
      </c>
      <c r="T259">
        <f>IF(N259="Y",J259*K259*Escalation!$B$4,0)</f>
        <v/>
      </c>
      <c r="U259">
        <f>IF(O259="Y",J259*K259*Escalation!$B$5,0)</f>
        <v/>
      </c>
      <c r="V259">
        <f>IF(P259="Y",J259*K259*Escalation!$B$6,0)</f>
        <v/>
      </c>
      <c r="W259">
        <f>IF(Q259="Y",J259*K259*Escalation!$B$7,0)</f>
        <v/>
      </c>
      <c r="X259">
        <f>SUM(R259:W259)</f>
        <v/>
      </c>
    </row>
    <row r="260">
      <c r="J260">
        <f>IF(C260="FTE",B260*1880,B260)</f>
        <v/>
      </c>
      <c r="K260">
        <f>E260*(1+F260)*(1+G260)*(1+H260)*(1+I260)</f>
        <v/>
      </c>
      <c r="R260">
        <f>IF(L260="Y",J260*K260*Escalation!$B$2,0)</f>
        <v/>
      </c>
      <c r="S260">
        <f>IF(M260="Y",J260*K260*Escalation!$B$3,0)</f>
        <v/>
      </c>
      <c r="T260">
        <f>IF(N260="Y",J260*K260*Escalation!$B$4,0)</f>
        <v/>
      </c>
      <c r="U260">
        <f>IF(O260="Y",J260*K260*Escalation!$B$5,0)</f>
        <v/>
      </c>
      <c r="V260">
        <f>IF(P260="Y",J260*K260*Escalation!$B$6,0)</f>
        <v/>
      </c>
      <c r="W260">
        <f>IF(Q260="Y",J260*K260*Escalation!$B$7,0)</f>
        <v/>
      </c>
      <c r="X260">
        <f>SUM(R260:W260)</f>
        <v/>
      </c>
    </row>
    <row r="261">
      <c r="J261">
        <f>IF(C261="FTE",B261*1880,B261)</f>
        <v/>
      </c>
      <c r="K261">
        <f>E261*(1+F261)*(1+G261)*(1+H261)*(1+I261)</f>
        <v/>
      </c>
      <c r="R261">
        <f>IF(L261="Y",J261*K261*Escalation!$B$2,0)</f>
        <v/>
      </c>
      <c r="S261">
        <f>IF(M261="Y",J261*K261*Escalation!$B$3,0)</f>
        <v/>
      </c>
      <c r="T261">
        <f>IF(N261="Y",J261*K261*Escalation!$B$4,0)</f>
        <v/>
      </c>
      <c r="U261">
        <f>IF(O261="Y",J261*K261*Escalation!$B$5,0)</f>
        <v/>
      </c>
      <c r="V261">
        <f>IF(P261="Y",J261*K261*Escalation!$B$6,0)</f>
        <v/>
      </c>
      <c r="W261">
        <f>IF(Q261="Y",J261*K261*Escalation!$B$7,0)</f>
        <v/>
      </c>
      <c r="X261">
        <f>SUM(R261:W261)</f>
        <v/>
      </c>
    </row>
    <row r="262">
      <c r="J262">
        <f>IF(C262="FTE",B262*1880,B262)</f>
        <v/>
      </c>
      <c r="K262">
        <f>E262*(1+F262)*(1+G262)*(1+H262)*(1+I262)</f>
        <v/>
      </c>
      <c r="R262">
        <f>IF(L262="Y",J262*K262*Escalation!$B$2,0)</f>
        <v/>
      </c>
      <c r="S262">
        <f>IF(M262="Y",J262*K262*Escalation!$B$3,0)</f>
        <v/>
      </c>
      <c r="T262">
        <f>IF(N262="Y",J262*K262*Escalation!$B$4,0)</f>
        <v/>
      </c>
      <c r="U262">
        <f>IF(O262="Y",J262*K262*Escalation!$B$5,0)</f>
        <v/>
      </c>
      <c r="V262">
        <f>IF(P262="Y",J262*K262*Escalation!$B$6,0)</f>
        <v/>
      </c>
      <c r="W262">
        <f>IF(Q262="Y",J262*K262*Escalation!$B$7,0)</f>
        <v/>
      </c>
      <c r="X262">
        <f>SUM(R262:W262)</f>
        <v/>
      </c>
    </row>
    <row r="263">
      <c r="J263">
        <f>IF(C263="FTE",B263*1880,B263)</f>
        <v/>
      </c>
      <c r="K263">
        <f>E263*(1+F263)*(1+G263)*(1+H263)*(1+I263)</f>
        <v/>
      </c>
      <c r="R263">
        <f>IF(L263="Y",J263*K263*Escalation!$B$2,0)</f>
        <v/>
      </c>
      <c r="S263">
        <f>IF(M263="Y",J263*K263*Escalation!$B$3,0)</f>
        <v/>
      </c>
      <c r="T263">
        <f>IF(N263="Y",J263*K263*Escalation!$B$4,0)</f>
        <v/>
      </c>
      <c r="U263">
        <f>IF(O263="Y",J263*K263*Escalation!$B$5,0)</f>
        <v/>
      </c>
      <c r="V263">
        <f>IF(P263="Y",J263*K263*Escalation!$B$6,0)</f>
        <v/>
      </c>
      <c r="W263">
        <f>IF(Q263="Y",J263*K263*Escalation!$B$7,0)</f>
        <v/>
      </c>
      <c r="X263">
        <f>SUM(R263:W263)</f>
        <v/>
      </c>
    </row>
    <row r="264">
      <c r="J264">
        <f>IF(C264="FTE",B264*1880,B264)</f>
        <v/>
      </c>
      <c r="K264">
        <f>E264*(1+F264)*(1+G264)*(1+H264)*(1+I264)</f>
        <v/>
      </c>
      <c r="R264">
        <f>IF(L264="Y",J264*K264*Escalation!$B$2,0)</f>
        <v/>
      </c>
      <c r="S264">
        <f>IF(M264="Y",J264*K264*Escalation!$B$3,0)</f>
        <v/>
      </c>
      <c r="T264">
        <f>IF(N264="Y",J264*K264*Escalation!$B$4,0)</f>
        <v/>
      </c>
      <c r="U264">
        <f>IF(O264="Y",J264*K264*Escalation!$B$5,0)</f>
        <v/>
      </c>
      <c r="V264">
        <f>IF(P264="Y",J264*K264*Escalation!$B$6,0)</f>
        <v/>
      </c>
      <c r="W264">
        <f>IF(Q264="Y",J264*K264*Escalation!$B$7,0)</f>
        <v/>
      </c>
      <c r="X264">
        <f>SUM(R264:W264)</f>
        <v/>
      </c>
    </row>
    <row r="265">
      <c r="J265">
        <f>IF(C265="FTE",B265*1880,B265)</f>
        <v/>
      </c>
      <c r="K265">
        <f>E265*(1+F265)*(1+G265)*(1+H265)*(1+I265)</f>
        <v/>
      </c>
      <c r="R265">
        <f>IF(L265="Y",J265*K265*Escalation!$B$2,0)</f>
        <v/>
      </c>
      <c r="S265">
        <f>IF(M265="Y",J265*K265*Escalation!$B$3,0)</f>
        <v/>
      </c>
      <c r="T265">
        <f>IF(N265="Y",J265*K265*Escalation!$B$4,0)</f>
        <v/>
      </c>
      <c r="U265">
        <f>IF(O265="Y",J265*K265*Escalation!$B$5,0)</f>
        <v/>
      </c>
      <c r="V265">
        <f>IF(P265="Y",J265*K265*Escalation!$B$6,0)</f>
        <v/>
      </c>
      <c r="W265">
        <f>IF(Q265="Y",J265*K265*Escalation!$B$7,0)</f>
        <v/>
      </c>
      <c r="X265">
        <f>SUM(R265:W265)</f>
        <v/>
      </c>
    </row>
    <row r="266">
      <c r="J266">
        <f>IF(C266="FTE",B266*1880,B266)</f>
        <v/>
      </c>
      <c r="K266">
        <f>E266*(1+F266)*(1+G266)*(1+H266)*(1+I266)</f>
        <v/>
      </c>
      <c r="R266">
        <f>IF(L266="Y",J266*K266*Escalation!$B$2,0)</f>
        <v/>
      </c>
      <c r="S266">
        <f>IF(M266="Y",J266*K266*Escalation!$B$3,0)</f>
        <v/>
      </c>
      <c r="T266">
        <f>IF(N266="Y",J266*K266*Escalation!$B$4,0)</f>
        <v/>
      </c>
      <c r="U266">
        <f>IF(O266="Y",J266*K266*Escalation!$B$5,0)</f>
        <v/>
      </c>
      <c r="V266">
        <f>IF(P266="Y",J266*K266*Escalation!$B$6,0)</f>
        <v/>
      </c>
      <c r="W266">
        <f>IF(Q266="Y",J266*K266*Escalation!$B$7,0)</f>
        <v/>
      </c>
      <c r="X266">
        <f>SUM(R266:W266)</f>
        <v/>
      </c>
    </row>
    <row r="267">
      <c r="J267">
        <f>IF(C267="FTE",B267*1880,B267)</f>
        <v/>
      </c>
      <c r="K267">
        <f>E267*(1+F267)*(1+G267)*(1+H267)*(1+I267)</f>
        <v/>
      </c>
      <c r="R267">
        <f>IF(L267="Y",J267*K267*Escalation!$B$2,0)</f>
        <v/>
      </c>
      <c r="S267">
        <f>IF(M267="Y",J267*K267*Escalation!$B$3,0)</f>
        <v/>
      </c>
      <c r="T267">
        <f>IF(N267="Y",J267*K267*Escalation!$B$4,0)</f>
        <v/>
      </c>
      <c r="U267">
        <f>IF(O267="Y",J267*K267*Escalation!$B$5,0)</f>
        <v/>
      </c>
      <c r="V267">
        <f>IF(P267="Y",J267*K267*Escalation!$B$6,0)</f>
        <v/>
      </c>
      <c r="W267">
        <f>IF(Q267="Y",J267*K267*Escalation!$B$7,0)</f>
        <v/>
      </c>
      <c r="X267">
        <f>SUM(R267:W267)</f>
        <v/>
      </c>
    </row>
    <row r="268">
      <c r="J268">
        <f>IF(C268="FTE",B268*1880,B268)</f>
        <v/>
      </c>
      <c r="K268">
        <f>E268*(1+F268)*(1+G268)*(1+H268)*(1+I268)</f>
        <v/>
      </c>
      <c r="R268">
        <f>IF(L268="Y",J268*K268*Escalation!$B$2,0)</f>
        <v/>
      </c>
      <c r="S268">
        <f>IF(M268="Y",J268*K268*Escalation!$B$3,0)</f>
        <v/>
      </c>
      <c r="T268">
        <f>IF(N268="Y",J268*K268*Escalation!$B$4,0)</f>
        <v/>
      </c>
      <c r="U268">
        <f>IF(O268="Y",J268*K268*Escalation!$B$5,0)</f>
        <v/>
      </c>
      <c r="V268">
        <f>IF(P268="Y",J268*K268*Escalation!$B$6,0)</f>
        <v/>
      </c>
      <c r="W268">
        <f>IF(Q268="Y",J268*K268*Escalation!$B$7,0)</f>
        <v/>
      </c>
      <c r="X268">
        <f>SUM(R268:W268)</f>
        <v/>
      </c>
    </row>
    <row r="269">
      <c r="J269">
        <f>IF(C269="FTE",B269*1880,B269)</f>
        <v/>
      </c>
      <c r="K269">
        <f>E269*(1+F269)*(1+G269)*(1+H269)*(1+I269)</f>
        <v/>
      </c>
      <c r="R269">
        <f>IF(L269="Y",J269*K269*Escalation!$B$2,0)</f>
        <v/>
      </c>
      <c r="S269">
        <f>IF(M269="Y",J269*K269*Escalation!$B$3,0)</f>
        <v/>
      </c>
      <c r="T269">
        <f>IF(N269="Y",J269*K269*Escalation!$B$4,0)</f>
        <v/>
      </c>
      <c r="U269">
        <f>IF(O269="Y",J269*K269*Escalation!$B$5,0)</f>
        <v/>
      </c>
      <c r="V269">
        <f>IF(P269="Y",J269*K269*Escalation!$B$6,0)</f>
        <v/>
      </c>
      <c r="W269">
        <f>IF(Q269="Y",J269*K269*Escalation!$B$7,0)</f>
        <v/>
      </c>
      <c r="X269">
        <f>SUM(R269:W269)</f>
        <v/>
      </c>
    </row>
    <row r="270">
      <c r="J270">
        <f>IF(C270="FTE",B270*1880,B270)</f>
        <v/>
      </c>
      <c r="K270">
        <f>E270*(1+F270)*(1+G270)*(1+H270)*(1+I270)</f>
        <v/>
      </c>
      <c r="R270">
        <f>IF(L270="Y",J270*K270*Escalation!$B$2,0)</f>
        <v/>
      </c>
      <c r="S270">
        <f>IF(M270="Y",J270*K270*Escalation!$B$3,0)</f>
        <v/>
      </c>
      <c r="T270">
        <f>IF(N270="Y",J270*K270*Escalation!$B$4,0)</f>
        <v/>
      </c>
      <c r="U270">
        <f>IF(O270="Y",J270*K270*Escalation!$B$5,0)</f>
        <v/>
      </c>
      <c r="V270">
        <f>IF(P270="Y",J270*K270*Escalation!$B$6,0)</f>
        <v/>
      </c>
      <c r="W270">
        <f>IF(Q270="Y",J270*K270*Escalation!$B$7,0)</f>
        <v/>
      </c>
      <c r="X270">
        <f>SUM(R270:W270)</f>
        <v/>
      </c>
    </row>
    <row r="271">
      <c r="J271">
        <f>IF(C271="FTE",B271*1880,B271)</f>
        <v/>
      </c>
      <c r="K271">
        <f>E271*(1+F271)*(1+G271)*(1+H271)*(1+I271)</f>
        <v/>
      </c>
      <c r="R271">
        <f>IF(L271="Y",J271*K271*Escalation!$B$2,0)</f>
        <v/>
      </c>
      <c r="S271">
        <f>IF(M271="Y",J271*K271*Escalation!$B$3,0)</f>
        <v/>
      </c>
      <c r="T271">
        <f>IF(N271="Y",J271*K271*Escalation!$B$4,0)</f>
        <v/>
      </c>
      <c r="U271">
        <f>IF(O271="Y",J271*K271*Escalation!$B$5,0)</f>
        <v/>
      </c>
      <c r="V271">
        <f>IF(P271="Y",J271*K271*Escalation!$B$6,0)</f>
        <v/>
      </c>
      <c r="W271">
        <f>IF(Q271="Y",J271*K271*Escalation!$B$7,0)</f>
        <v/>
      </c>
      <c r="X271">
        <f>SUM(R271:W271)</f>
        <v/>
      </c>
    </row>
    <row r="272">
      <c r="J272">
        <f>IF(C272="FTE",B272*1880,B272)</f>
        <v/>
      </c>
      <c r="K272">
        <f>E272*(1+F272)*(1+G272)*(1+H272)*(1+I272)</f>
        <v/>
      </c>
      <c r="R272">
        <f>IF(L272="Y",J272*K272*Escalation!$B$2,0)</f>
        <v/>
      </c>
      <c r="S272">
        <f>IF(M272="Y",J272*K272*Escalation!$B$3,0)</f>
        <v/>
      </c>
      <c r="T272">
        <f>IF(N272="Y",J272*K272*Escalation!$B$4,0)</f>
        <v/>
      </c>
      <c r="U272">
        <f>IF(O272="Y",J272*K272*Escalation!$B$5,0)</f>
        <v/>
      </c>
      <c r="V272">
        <f>IF(P272="Y",J272*K272*Escalation!$B$6,0)</f>
        <v/>
      </c>
      <c r="W272">
        <f>IF(Q272="Y",J272*K272*Escalation!$B$7,0)</f>
        <v/>
      </c>
      <c r="X272">
        <f>SUM(R272:W272)</f>
        <v/>
      </c>
    </row>
    <row r="273">
      <c r="J273">
        <f>IF(C273="FTE",B273*1880,B273)</f>
        <v/>
      </c>
      <c r="K273">
        <f>E273*(1+F273)*(1+G273)*(1+H273)*(1+I273)</f>
        <v/>
      </c>
      <c r="R273">
        <f>IF(L273="Y",J273*K273*Escalation!$B$2,0)</f>
        <v/>
      </c>
      <c r="S273">
        <f>IF(M273="Y",J273*K273*Escalation!$B$3,0)</f>
        <v/>
      </c>
      <c r="T273">
        <f>IF(N273="Y",J273*K273*Escalation!$B$4,0)</f>
        <v/>
      </c>
      <c r="U273">
        <f>IF(O273="Y",J273*K273*Escalation!$B$5,0)</f>
        <v/>
      </c>
      <c r="V273">
        <f>IF(P273="Y",J273*K273*Escalation!$B$6,0)</f>
        <v/>
      </c>
      <c r="W273">
        <f>IF(Q273="Y",J273*K273*Escalation!$B$7,0)</f>
        <v/>
      </c>
      <c r="X273">
        <f>SUM(R273:W273)</f>
        <v/>
      </c>
    </row>
    <row r="274">
      <c r="J274">
        <f>IF(C274="FTE",B274*1880,B274)</f>
        <v/>
      </c>
      <c r="K274">
        <f>E274*(1+F274)*(1+G274)*(1+H274)*(1+I274)</f>
        <v/>
      </c>
      <c r="R274">
        <f>IF(L274="Y",J274*K274*Escalation!$B$2,0)</f>
        <v/>
      </c>
      <c r="S274">
        <f>IF(M274="Y",J274*K274*Escalation!$B$3,0)</f>
        <v/>
      </c>
      <c r="T274">
        <f>IF(N274="Y",J274*K274*Escalation!$B$4,0)</f>
        <v/>
      </c>
      <c r="U274">
        <f>IF(O274="Y",J274*K274*Escalation!$B$5,0)</f>
        <v/>
      </c>
      <c r="V274">
        <f>IF(P274="Y",J274*K274*Escalation!$B$6,0)</f>
        <v/>
      </c>
      <c r="W274">
        <f>IF(Q274="Y",J274*K274*Escalation!$B$7,0)</f>
        <v/>
      </c>
      <c r="X274">
        <f>SUM(R274:W274)</f>
        <v/>
      </c>
    </row>
    <row r="275">
      <c r="J275">
        <f>IF(C275="FTE",B275*1880,B275)</f>
        <v/>
      </c>
      <c r="K275">
        <f>E275*(1+F275)*(1+G275)*(1+H275)*(1+I275)</f>
        <v/>
      </c>
      <c r="R275">
        <f>IF(L275="Y",J275*K275*Escalation!$B$2,0)</f>
        <v/>
      </c>
      <c r="S275">
        <f>IF(M275="Y",J275*K275*Escalation!$B$3,0)</f>
        <v/>
      </c>
      <c r="T275">
        <f>IF(N275="Y",J275*K275*Escalation!$B$4,0)</f>
        <v/>
      </c>
      <c r="U275">
        <f>IF(O275="Y",J275*K275*Escalation!$B$5,0)</f>
        <v/>
      </c>
      <c r="V275">
        <f>IF(P275="Y",J275*K275*Escalation!$B$6,0)</f>
        <v/>
      </c>
      <c r="W275">
        <f>IF(Q275="Y",J275*K275*Escalation!$B$7,0)</f>
        <v/>
      </c>
      <c r="X275">
        <f>SUM(R275:W275)</f>
        <v/>
      </c>
    </row>
    <row r="276">
      <c r="J276">
        <f>IF(C276="FTE",B276*1880,B276)</f>
        <v/>
      </c>
      <c r="K276">
        <f>E276*(1+F276)*(1+G276)*(1+H276)*(1+I276)</f>
        <v/>
      </c>
      <c r="R276">
        <f>IF(L276="Y",J276*K276*Escalation!$B$2,0)</f>
        <v/>
      </c>
      <c r="S276">
        <f>IF(M276="Y",J276*K276*Escalation!$B$3,0)</f>
        <v/>
      </c>
      <c r="T276">
        <f>IF(N276="Y",J276*K276*Escalation!$B$4,0)</f>
        <v/>
      </c>
      <c r="U276">
        <f>IF(O276="Y",J276*K276*Escalation!$B$5,0)</f>
        <v/>
      </c>
      <c r="V276">
        <f>IF(P276="Y",J276*K276*Escalation!$B$6,0)</f>
        <v/>
      </c>
      <c r="W276">
        <f>IF(Q276="Y",J276*K276*Escalation!$B$7,0)</f>
        <v/>
      </c>
      <c r="X276">
        <f>SUM(R276:W276)</f>
        <v/>
      </c>
    </row>
    <row r="277">
      <c r="J277">
        <f>IF(C277="FTE",B277*1880,B277)</f>
        <v/>
      </c>
      <c r="K277">
        <f>E277*(1+F277)*(1+G277)*(1+H277)*(1+I277)</f>
        <v/>
      </c>
      <c r="R277">
        <f>IF(L277="Y",J277*K277*Escalation!$B$2,0)</f>
        <v/>
      </c>
      <c r="S277">
        <f>IF(M277="Y",J277*K277*Escalation!$B$3,0)</f>
        <v/>
      </c>
      <c r="T277">
        <f>IF(N277="Y",J277*K277*Escalation!$B$4,0)</f>
        <v/>
      </c>
      <c r="U277">
        <f>IF(O277="Y",J277*K277*Escalation!$B$5,0)</f>
        <v/>
      </c>
      <c r="V277">
        <f>IF(P277="Y",J277*K277*Escalation!$B$6,0)</f>
        <v/>
      </c>
      <c r="W277">
        <f>IF(Q277="Y",J277*K277*Escalation!$B$7,0)</f>
        <v/>
      </c>
      <c r="X277">
        <f>SUM(R277:W277)</f>
        <v/>
      </c>
    </row>
    <row r="278">
      <c r="J278">
        <f>IF(C278="FTE",B278*1880,B278)</f>
        <v/>
      </c>
      <c r="K278">
        <f>E278*(1+F278)*(1+G278)*(1+H278)*(1+I278)</f>
        <v/>
      </c>
      <c r="R278">
        <f>IF(L278="Y",J278*K278*Escalation!$B$2,0)</f>
        <v/>
      </c>
      <c r="S278">
        <f>IF(M278="Y",J278*K278*Escalation!$B$3,0)</f>
        <v/>
      </c>
      <c r="T278">
        <f>IF(N278="Y",J278*K278*Escalation!$B$4,0)</f>
        <v/>
      </c>
      <c r="U278">
        <f>IF(O278="Y",J278*K278*Escalation!$B$5,0)</f>
        <v/>
      </c>
      <c r="V278">
        <f>IF(P278="Y",J278*K278*Escalation!$B$6,0)</f>
        <v/>
      </c>
      <c r="W278">
        <f>IF(Q278="Y",J278*K278*Escalation!$B$7,0)</f>
        <v/>
      </c>
      <c r="X278">
        <f>SUM(R278:W278)</f>
        <v/>
      </c>
    </row>
    <row r="279">
      <c r="J279">
        <f>IF(C279="FTE",B279*1880,B279)</f>
        <v/>
      </c>
      <c r="K279">
        <f>E279*(1+F279)*(1+G279)*(1+H279)*(1+I279)</f>
        <v/>
      </c>
      <c r="R279">
        <f>IF(L279="Y",J279*K279*Escalation!$B$2,0)</f>
        <v/>
      </c>
      <c r="S279">
        <f>IF(M279="Y",J279*K279*Escalation!$B$3,0)</f>
        <v/>
      </c>
      <c r="T279">
        <f>IF(N279="Y",J279*K279*Escalation!$B$4,0)</f>
        <v/>
      </c>
      <c r="U279">
        <f>IF(O279="Y",J279*K279*Escalation!$B$5,0)</f>
        <v/>
      </c>
      <c r="V279">
        <f>IF(P279="Y",J279*K279*Escalation!$B$6,0)</f>
        <v/>
      </c>
      <c r="W279">
        <f>IF(Q279="Y",J279*K279*Escalation!$B$7,0)</f>
        <v/>
      </c>
      <c r="X279">
        <f>SUM(R279:W279)</f>
        <v/>
      </c>
    </row>
    <row r="280">
      <c r="J280">
        <f>IF(C280="FTE",B280*1880,B280)</f>
        <v/>
      </c>
      <c r="K280">
        <f>E280*(1+F280)*(1+G280)*(1+H280)*(1+I280)</f>
        <v/>
      </c>
      <c r="R280">
        <f>IF(L280="Y",J280*K280*Escalation!$B$2,0)</f>
        <v/>
      </c>
      <c r="S280">
        <f>IF(M280="Y",J280*K280*Escalation!$B$3,0)</f>
        <v/>
      </c>
      <c r="T280">
        <f>IF(N280="Y",J280*K280*Escalation!$B$4,0)</f>
        <v/>
      </c>
      <c r="U280">
        <f>IF(O280="Y",J280*K280*Escalation!$B$5,0)</f>
        <v/>
      </c>
      <c r="V280">
        <f>IF(P280="Y",J280*K280*Escalation!$B$6,0)</f>
        <v/>
      </c>
      <c r="W280">
        <f>IF(Q280="Y",J280*K280*Escalation!$B$7,0)</f>
        <v/>
      </c>
      <c r="X280">
        <f>SUM(R280:W280)</f>
        <v/>
      </c>
    </row>
    <row r="281">
      <c r="J281">
        <f>IF(C281="FTE",B281*1880,B281)</f>
        <v/>
      </c>
      <c r="K281">
        <f>E281*(1+F281)*(1+G281)*(1+H281)*(1+I281)</f>
        <v/>
      </c>
      <c r="R281">
        <f>IF(L281="Y",J281*K281*Escalation!$B$2,0)</f>
        <v/>
      </c>
      <c r="S281">
        <f>IF(M281="Y",J281*K281*Escalation!$B$3,0)</f>
        <v/>
      </c>
      <c r="T281">
        <f>IF(N281="Y",J281*K281*Escalation!$B$4,0)</f>
        <v/>
      </c>
      <c r="U281">
        <f>IF(O281="Y",J281*K281*Escalation!$B$5,0)</f>
        <v/>
      </c>
      <c r="V281">
        <f>IF(P281="Y",J281*K281*Escalation!$B$6,0)</f>
        <v/>
      </c>
      <c r="W281">
        <f>IF(Q281="Y",J281*K281*Escalation!$B$7,0)</f>
        <v/>
      </c>
      <c r="X281">
        <f>SUM(R281:W281)</f>
        <v/>
      </c>
    </row>
    <row r="282">
      <c r="J282">
        <f>IF(C282="FTE",B282*1880,B282)</f>
        <v/>
      </c>
      <c r="K282">
        <f>E282*(1+F282)*(1+G282)*(1+H282)*(1+I282)</f>
        <v/>
      </c>
      <c r="R282">
        <f>IF(L282="Y",J282*K282*Escalation!$B$2,0)</f>
        <v/>
      </c>
      <c r="S282">
        <f>IF(M282="Y",J282*K282*Escalation!$B$3,0)</f>
        <v/>
      </c>
      <c r="T282">
        <f>IF(N282="Y",J282*K282*Escalation!$B$4,0)</f>
        <v/>
      </c>
      <c r="U282">
        <f>IF(O282="Y",J282*K282*Escalation!$B$5,0)</f>
        <v/>
      </c>
      <c r="V282">
        <f>IF(P282="Y",J282*K282*Escalation!$B$6,0)</f>
        <v/>
      </c>
      <c r="W282">
        <f>IF(Q282="Y",J282*K282*Escalation!$B$7,0)</f>
        <v/>
      </c>
      <c r="X282">
        <f>SUM(R282:W282)</f>
        <v/>
      </c>
    </row>
    <row r="283">
      <c r="J283">
        <f>IF(C283="FTE",B283*1880,B283)</f>
        <v/>
      </c>
      <c r="K283">
        <f>E283*(1+F283)*(1+G283)*(1+H283)*(1+I283)</f>
        <v/>
      </c>
      <c r="R283">
        <f>IF(L283="Y",J283*K283*Escalation!$B$2,0)</f>
        <v/>
      </c>
      <c r="S283">
        <f>IF(M283="Y",J283*K283*Escalation!$B$3,0)</f>
        <v/>
      </c>
      <c r="T283">
        <f>IF(N283="Y",J283*K283*Escalation!$B$4,0)</f>
        <v/>
      </c>
      <c r="U283">
        <f>IF(O283="Y",J283*K283*Escalation!$B$5,0)</f>
        <v/>
      </c>
      <c r="V283">
        <f>IF(P283="Y",J283*K283*Escalation!$B$6,0)</f>
        <v/>
      </c>
      <c r="W283">
        <f>IF(Q283="Y",J283*K283*Escalation!$B$7,0)</f>
        <v/>
      </c>
      <c r="X283">
        <f>SUM(R283:W283)</f>
        <v/>
      </c>
    </row>
    <row r="284">
      <c r="J284">
        <f>IF(C284="FTE",B284*1880,B284)</f>
        <v/>
      </c>
      <c r="K284">
        <f>E284*(1+F284)*(1+G284)*(1+H284)*(1+I284)</f>
        <v/>
      </c>
      <c r="R284">
        <f>IF(L284="Y",J284*K284*Escalation!$B$2,0)</f>
        <v/>
      </c>
      <c r="S284">
        <f>IF(M284="Y",J284*K284*Escalation!$B$3,0)</f>
        <v/>
      </c>
      <c r="T284">
        <f>IF(N284="Y",J284*K284*Escalation!$B$4,0)</f>
        <v/>
      </c>
      <c r="U284">
        <f>IF(O284="Y",J284*K284*Escalation!$B$5,0)</f>
        <v/>
      </c>
      <c r="V284">
        <f>IF(P284="Y",J284*K284*Escalation!$B$6,0)</f>
        <v/>
      </c>
      <c r="W284">
        <f>IF(Q284="Y",J284*K284*Escalation!$B$7,0)</f>
        <v/>
      </c>
      <c r="X284">
        <f>SUM(R284:W284)</f>
        <v/>
      </c>
    </row>
    <row r="285">
      <c r="J285">
        <f>IF(C285="FTE",B285*1880,B285)</f>
        <v/>
      </c>
      <c r="K285">
        <f>E285*(1+F285)*(1+G285)*(1+H285)*(1+I285)</f>
        <v/>
      </c>
      <c r="R285">
        <f>IF(L285="Y",J285*K285*Escalation!$B$2,0)</f>
        <v/>
      </c>
      <c r="S285">
        <f>IF(M285="Y",J285*K285*Escalation!$B$3,0)</f>
        <v/>
      </c>
      <c r="T285">
        <f>IF(N285="Y",J285*K285*Escalation!$B$4,0)</f>
        <v/>
      </c>
      <c r="U285">
        <f>IF(O285="Y",J285*K285*Escalation!$B$5,0)</f>
        <v/>
      </c>
      <c r="V285">
        <f>IF(P285="Y",J285*K285*Escalation!$B$6,0)</f>
        <v/>
      </c>
      <c r="W285">
        <f>IF(Q285="Y",J285*K285*Escalation!$B$7,0)</f>
        <v/>
      </c>
      <c r="X285">
        <f>SUM(R285:W285)</f>
        <v/>
      </c>
    </row>
    <row r="286">
      <c r="J286">
        <f>IF(C286="FTE",B286*1880,B286)</f>
        <v/>
      </c>
      <c r="K286">
        <f>E286*(1+F286)*(1+G286)*(1+H286)*(1+I286)</f>
        <v/>
      </c>
      <c r="R286">
        <f>IF(L286="Y",J286*K286*Escalation!$B$2,0)</f>
        <v/>
      </c>
      <c r="S286">
        <f>IF(M286="Y",J286*K286*Escalation!$B$3,0)</f>
        <v/>
      </c>
      <c r="T286">
        <f>IF(N286="Y",J286*K286*Escalation!$B$4,0)</f>
        <v/>
      </c>
      <c r="U286">
        <f>IF(O286="Y",J286*K286*Escalation!$B$5,0)</f>
        <v/>
      </c>
      <c r="V286">
        <f>IF(P286="Y",J286*K286*Escalation!$B$6,0)</f>
        <v/>
      </c>
      <c r="W286">
        <f>IF(Q286="Y",J286*K286*Escalation!$B$7,0)</f>
        <v/>
      </c>
      <c r="X286">
        <f>SUM(R286:W286)</f>
        <v/>
      </c>
    </row>
    <row r="287">
      <c r="J287">
        <f>IF(C287="FTE",B287*1880,B287)</f>
        <v/>
      </c>
      <c r="K287">
        <f>E287*(1+F287)*(1+G287)*(1+H287)*(1+I287)</f>
        <v/>
      </c>
      <c r="R287">
        <f>IF(L287="Y",J287*K287*Escalation!$B$2,0)</f>
        <v/>
      </c>
      <c r="S287">
        <f>IF(M287="Y",J287*K287*Escalation!$B$3,0)</f>
        <v/>
      </c>
      <c r="T287">
        <f>IF(N287="Y",J287*K287*Escalation!$B$4,0)</f>
        <v/>
      </c>
      <c r="U287">
        <f>IF(O287="Y",J287*K287*Escalation!$B$5,0)</f>
        <v/>
      </c>
      <c r="V287">
        <f>IF(P287="Y",J287*K287*Escalation!$B$6,0)</f>
        <v/>
      </c>
      <c r="W287">
        <f>IF(Q287="Y",J287*K287*Escalation!$B$7,0)</f>
        <v/>
      </c>
      <c r="X287">
        <f>SUM(R287:W287)</f>
        <v/>
      </c>
    </row>
    <row r="288">
      <c r="J288">
        <f>IF(C288="FTE",B288*1880,B288)</f>
        <v/>
      </c>
      <c r="K288">
        <f>E288*(1+F288)*(1+G288)*(1+H288)*(1+I288)</f>
        <v/>
      </c>
      <c r="R288">
        <f>IF(L288="Y",J288*K288*Escalation!$B$2,0)</f>
        <v/>
      </c>
      <c r="S288">
        <f>IF(M288="Y",J288*K288*Escalation!$B$3,0)</f>
        <v/>
      </c>
      <c r="T288">
        <f>IF(N288="Y",J288*K288*Escalation!$B$4,0)</f>
        <v/>
      </c>
      <c r="U288">
        <f>IF(O288="Y",J288*K288*Escalation!$B$5,0)</f>
        <v/>
      </c>
      <c r="V288">
        <f>IF(P288="Y",J288*K288*Escalation!$B$6,0)</f>
        <v/>
      </c>
      <c r="W288">
        <f>IF(Q288="Y",J288*K288*Escalation!$B$7,0)</f>
        <v/>
      </c>
      <c r="X288">
        <f>SUM(R288:W288)</f>
        <v/>
      </c>
    </row>
    <row r="289">
      <c r="J289">
        <f>IF(C289="FTE",B289*1880,B289)</f>
        <v/>
      </c>
      <c r="K289">
        <f>E289*(1+F289)*(1+G289)*(1+H289)*(1+I289)</f>
        <v/>
      </c>
      <c r="R289">
        <f>IF(L289="Y",J289*K289*Escalation!$B$2,0)</f>
        <v/>
      </c>
      <c r="S289">
        <f>IF(M289="Y",J289*K289*Escalation!$B$3,0)</f>
        <v/>
      </c>
      <c r="T289">
        <f>IF(N289="Y",J289*K289*Escalation!$B$4,0)</f>
        <v/>
      </c>
      <c r="U289">
        <f>IF(O289="Y",J289*K289*Escalation!$B$5,0)</f>
        <v/>
      </c>
      <c r="V289">
        <f>IF(P289="Y",J289*K289*Escalation!$B$6,0)</f>
        <v/>
      </c>
      <c r="W289">
        <f>IF(Q289="Y",J289*K289*Escalation!$B$7,0)</f>
        <v/>
      </c>
      <c r="X289">
        <f>SUM(R289:W289)</f>
        <v/>
      </c>
    </row>
    <row r="290">
      <c r="J290">
        <f>IF(C290="FTE",B290*1880,B290)</f>
        <v/>
      </c>
      <c r="K290">
        <f>E290*(1+F290)*(1+G290)*(1+H290)*(1+I290)</f>
        <v/>
      </c>
      <c r="R290">
        <f>IF(L290="Y",J290*K290*Escalation!$B$2,0)</f>
        <v/>
      </c>
      <c r="S290">
        <f>IF(M290="Y",J290*K290*Escalation!$B$3,0)</f>
        <v/>
      </c>
      <c r="T290">
        <f>IF(N290="Y",J290*K290*Escalation!$B$4,0)</f>
        <v/>
      </c>
      <c r="U290">
        <f>IF(O290="Y",J290*K290*Escalation!$B$5,0)</f>
        <v/>
      </c>
      <c r="V290">
        <f>IF(P290="Y",J290*K290*Escalation!$B$6,0)</f>
        <v/>
      </c>
      <c r="W290">
        <f>IF(Q290="Y",J290*K290*Escalation!$B$7,0)</f>
        <v/>
      </c>
      <c r="X290">
        <f>SUM(R290:W290)</f>
        <v/>
      </c>
    </row>
    <row r="291">
      <c r="J291">
        <f>IF(C291="FTE",B291*1880,B291)</f>
        <v/>
      </c>
      <c r="K291">
        <f>E291*(1+F291)*(1+G291)*(1+H291)*(1+I291)</f>
        <v/>
      </c>
      <c r="R291">
        <f>IF(L291="Y",J291*K291*Escalation!$B$2,0)</f>
        <v/>
      </c>
      <c r="S291">
        <f>IF(M291="Y",J291*K291*Escalation!$B$3,0)</f>
        <v/>
      </c>
      <c r="T291">
        <f>IF(N291="Y",J291*K291*Escalation!$B$4,0)</f>
        <v/>
      </c>
      <c r="U291">
        <f>IF(O291="Y",J291*K291*Escalation!$B$5,0)</f>
        <v/>
      </c>
      <c r="V291">
        <f>IF(P291="Y",J291*K291*Escalation!$B$6,0)</f>
        <v/>
      </c>
      <c r="W291">
        <f>IF(Q291="Y",J291*K291*Escalation!$B$7,0)</f>
        <v/>
      </c>
      <c r="X291">
        <f>SUM(R291:W291)</f>
        <v/>
      </c>
    </row>
    <row r="292">
      <c r="J292">
        <f>IF(C292="FTE",B292*1880,B292)</f>
        <v/>
      </c>
      <c r="K292">
        <f>E292*(1+F292)*(1+G292)*(1+H292)*(1+I292)</f>
        <v/>
      </c>
      <c r="R292">
        <f>IF(L292="Y",J292*K292*Escalation!$B$2,0)</f>
        <v/>
      </c>
      <c r="S292">
        <f>IF(M292="Y",J292*K292*Escalation!$B$3,0)</f>
        <v/>
      </c>
      <c r="T292">
        <f>IF(N292="Y",J292*K292*Escalation!$B$4,0)</f>
        <v/>
      </c>
      <c r="U292">
        <f>IF(O292="Y",J292*K292*Escalation!$B$5,0)</f>
        <v/>
      </c>
      <c r="V292">
        <f>IF(P292="Y",J292*K292*Escalation!$B$6,0)</f>
        <v/>
      </c>
      <c r="W292">
        <f>IF(Q292="Y",J292*K292*Escalation!$B$7,0)</f>
        <v/>
      </c>
      <c r="X292">
        <f>SUM(R292:W292)</f>
        <v/>
      </c>
    </row>
    <row r="293">
      <c r="J293">
        <f>IF(C293="FTE",B293*1880,B293)</f>
        <v/>
      </c>
      <c r="K293">
        <f>E293*(1+F293)*(1+G293)*(1+H293)*(1+I293)</f>
        <v/>
      </c>
      <c r="R293">
        <f>IF(L293="Y",J293*K293*Escalation!$B$2,0)</f>
        <v/>
      </c>
      <c r="S293">
        <f>IF(M293="Y",J293*K293*Escalation!$B$3,0)</f>
        <v/>
      </c>
      <c r="T293">
        <f>IF(N293="Y",J293*K293*Escalation!$B$4,0)</f>
        <v/>
      </c>
      <c r="U293">
        <f>IF(O293="Y",J293*K293*Escalation!$B$5,0)</f>
        <v/>
      </c>
      <c r="V293">
        <f>IF(P293="Y",J293*K293*Escalation!$B$6,0)</f>
        <v/>
      </c>
      <c r="W293">
        <f>IF(Q293="Y",J293*K293*Escalation!$B$7,0)</f>
        <v/>
      </c>
      <c r="X293">
        <f>SUM(R293:W293)</f>
        <v/>
      </c>
    </row>
    <row r="294">
      <c r="J294">
        <f>IF(C294="FTE",B294*1880,B294)</f>
        <v/>
      </c>
      <c r="K294">
        <f>E294*(1+F294)*(1+G294)*(1+H294)*(1+I294)</f>
        <v/>
      </c>
      <c r="R294">
        <f>IF(L294="Y",J294*K294*Escalation!$B$2,0)</f>
        <v/>
      </c>
      <c r="S294">
        <f>IF(M294="Y",J294*K294*Escalation!$B$3,0)</f>
        <v/>
      </c>
      <c r="T294">
        <f>IF(N294="Y",J294*K294*Escalation!$B$4,0)</f>
        <v/>
      </c>
      <c r="U294">
        <f>IF(O294="Y",J294*K294*Escalation!$B$5,0)</f>
        <v/>
      </c>
      <c r="V294">
        <f>IF(P294="Y",J294*K294*Escalation!$B$6,0)</f>
        <v/>
      </c>
      <c r="W294">
        <f>IF(Q294="Y",J294*K294*Escalation!$B$7,0)</f>
        <v/>
      </c>
      <c r="X294">
        <f>SUM(R294:W294)</f>
        <v/>
      </c>
    </row>
    <row r="295">
      <c r="J295">
        <f>IF(C295="FTE",B295*1880,B295)</f>
        <v/>
      </c>
      <c r="K295">
        <f>E295*(1+F295)*(1+G295)*(1+H295)*(1+I295)</f>
        <v/>
      </c>
      <c r="R295">
        <f>IF(L295="Y",J295*K295*Escalation!$B$2,0)</f>
        <v/>
      </c>
      <c r="S295">
        <f>IF(M295="Y",J295*K295*Escalation!$B$3,0)</f>
        <v/>
      </c>
      <c r="T295">
        <f>IF(N295="Y",J295*K295*Escalation!$B$4,0)</f>
        <v/>
      </c>
      <c r="U295">
        <f>IF(O295="Y",J295*K295*Escalation!$B$5,0)</f>
        <v/>
      </c>
      <c r="V295">
        <f>IF(P295="Y",J295*K295*Escalation!$B$6,0)</f>
        <v/>
      </c>
      <c r="W295">
        <f>IF(Q295="Y",J295*K295*Escalation!$B$7,0)</f>
        <v/>
      </c>
      <c r="X295">
        <f>SUM(R295:W295)</f>
        <v/>
      </c>
    </row>
    <row r="296">
      <c r="J296">
        <f>IF(C296="FTE",B296*1880,B296)</f>
        <v/>
      </c>
      <c r="K296">
        <f>E296*(1+F296)*(1+G296)*(1+H296)*(1+I296)</f>
        <v/>
      </c>
      <c r="R296">
        <f>IF(L296="Y",J296*K296*Escalation!$B$2,0)</f>
        <v/>
      </c>
      <c r="S296">
        <f>IF(M296="Y",J296*K296*Escalation!$B$3,0)</f>
        <v/>
      </c>
      <c r="T296">
        <f>IF(N296="Y",J296*K296*Escalation!$B$4,0)</f>
        <v/>
      </c>
      <c r="U296">
        <f>IF(O296="Y",J296*K296*Escalation!$B$5,0)</f>
        <v/>
      </c>
      <c r="V296">
        <f>IF(P296="Y",J296*K296*Escalation!$B$6,0)</f>
        <v/>
      </c>
      <c r="W296">
        <f>IF(Q296="Y",J296*K296*Escalation!$B$7,0)</f>
        <v/>
      </c>
      <c r="X296">
        <f>SUM(R296:W296)</f>
        <v/>
      </c>
    </row>
    <row r="297">
      <c r="J297">
        <f>IF(C297="FTE",B297*1880,B297)</f>
        <v/>
      </c>
      <c r="K297">
        <f>E297*(1+F297)*(1+G297)*(1+H297)*(1+I297)</f>
        <v/>
      </c>
      <c r="R297">
        <f>IF(L297="Y",J297*K297*Escalation!$B$2,0)</f>
        <v/>
      </c>
      <c r="S297">
        <f>IF(M297="Y",J297*K297*Escalation!$B$3,0)</f>
        <v/>
      </c>
      <c r="T297">
        <f>IF(N297="Y",J297*K297*Escalation!$B$4,0)</f>
        <v/>
      </c>
      <c r="U297">
        <f>IF(O297="Y",J297*K297*Escalation!$B$5,0)</f>
        <v/>
      </c>
      <c r="V297">
        <f>IF(P297="Y",J297*K297*Escalation!$B$6,0)</f>
        <v/>
      </c>
      <c r="W297">
        <f>IF(Q297="Y",J297*K297*Escalation!$B$7,0)</f>
        <v/>
      </c>
      <c r="X297">
        <f>SUM(R297:W297)</f>
        <v/>
      </c>
    </row>
    <row r="298">
      <c r="J298">
        <f>IF(C298="FTE",B298*1880,B298)</f>
        <v/>
      </c>
      <c r="K298">
        <f>E298*(1+F298)*(1+G298)*(1+H298)*(1+I298)</f>
        <v/>
      </c>
      <c r="R298">
        <f>IF(L298="Y",J298*K298*Escalation!$B$2,0)</f>
        <v/>
      </c>
      <c r="S298">
        <f>IF(M298="Y",J298*K298*Escalation!$B$3,0)</f>
        <v/>
      </c>
      <c r="T298">
        <f>IF(N298="Y",J298*K298*Escalation!$B$4,0)</f>
        <v/>
      </c>
      <c r="U298">
        <f>IF(O298="Y",J298*K298*Escalation!$B$5,0)</f>
        <v/>
      </c>
      <c r="V298">
        <f>IF(P298="Y",J298*K298*Escalation!$B$6,0)</f>
        <v/>
      </c>
      <c r="W298">
        <f>IF(Q298="Y",J298*K298*Escalation!$B$7,0)</f>
        <v/>
      </c>
      <c r="X298">
        <f>SUM(R298:W298)</f>
        <v/>
      </c>
    </row>
    <row r="299">
      <c r="J299">
        <f>IF(C299="FTE",B299*1880,B299)</f>
        <v/>
      </c>
      <c r="K299">
        <f>E299*(1+F299)*(1+G299)*(1+H299)*(1+I299)</f>
        <v/>
      </c>
      <c r="R299">
        <f>IF(L299="Y",J299*K299*Escalation!$B$2,0)</f>
        <v/>
      </c>
      <c r="S299">
        <f>IF(M299="Y",J299*K299*Escalation!$B$3,0)</f>
        <v/>
      </c>
      <c r="T299">
        <f>IF(N299="Y",J299*K299*Escalation!$B$4,0)</f>
        <v/>
      </c>
      <c r="U299">
        <f>IF(O299="Y",J299*K299*Escalation!$B$5,0)</f>
        <v/>
      </c>
      <c r="V299">
        <f>IF(P299="Y",J299*K299*Escalation!$B$6,0)</f>
        <v/>
      </c>
      <c r="W299">
        <f>IF(Q299="Y",J299*K299*Escalation!$B$7,0)</f>
        <v/>
      </c>
      <c r="X299">
        <f>SUM(R299:W299)</f>
        <v/>
      </c>
    </row>
    <row r="300">
      <c r="J300">
        <f>IF(C300="FTE",B300*1880,B300)</f>
        <v/>
      </c>
      <c r="K300">
        <f>E300*(1+F300)*(1+G300)*(1+H300)*(1+I300)</f>
        <v/>
      </c>
      <c r="R300">
        <f>IF(L300="Y",J300*K300*Escalation!$B$2,0)</f>
        <v/>
      </c>
      <c r="S300">
        <f>IF(M300="Y",J300*K300*Escalation!$B$3,0)</f>
        <v/>
      </c>
      <c r="T300">
        <f>IF(N300="Y",J300*K300*Escalation!$B$4,0)</f>
        <v/>
      </c>
      <c r="U300">
        <f>IF(O300="Y",J300*K300*Escalation!$B$5,0)</f>
        <v/>
      </c>
      <c r="V300">
        <f>IF(P300="Y",J300*K300*Escalation!$B$6,0)</f>
        <v/>
      </c>
      <c r="W300">
        <f>IF(Q300="Y",J300*K300*Escalation!$B$7,0)</f>
        <v/>
      </c>
      <c r="X300">
        <f>SUM(R300:W300)</f>
        <v/>
      </c>
    </row>
    <row r="301">
      <c r="J301">
        <f>IF(C301="FTE",B301*1880,B301)</f>
        <v/>
      </c>
      <c r="K301">
        <f>E301*(1+F301)*(1+G301)*(1+H301)*(1+I301)</f>
        <v/>
      </c>
      <c r="R301">
        <f>IF(L301="Y",J301*K301*Escalation!$B$2,0)</f>
        <v/>
      </c>
      <c r="S301">
        <f>IF(M301="Y",J301*K301*Escalation!$B$3,0)</f>
        <v/>
      </c>
      <c r="T301">
        <f>IF(N301="Y",J301*K301*Escalation!$B$4,0)</f>
        <v/>
      </c>
      <c r="U301">
        <f>IF(O301="Y",J301*K301*Escalation!$B$5,0)</f>
        <v/>
      </c>
      <c r="V301">
        <f>IF(P301="Y",J301*K301*Escalation!$B$6,0)</f>
        <v/>
      </c>
      <c r="W301">
        <f>IF(Q301="Y",J301*K301*Escalation!$B$7,0)</f>
        <v/>
      </c>
      <c r="X301">
        <f>SUM(R301:W301)</f>
        <v/>
      </c>
    </row>
    <row r="302">
      <c r="J302">
        <f>IF(C302="FTE",B302*1880,B302)</f>
        <v/>
      </c>
      <c r="K302">
        <f>E302*(1+F302)*(1+G302)*(1+H302)*(1+I302)</f>
        <v/>
      </c>
      <c r="R302">
        <f>IF(L302="Y",J302*K302*Escalation!$B$2,0)</f>
        <v/>
      </c>
      <c r="S302">
        <f>IF(M302="Y",J302*K302*Escalation!$B$3,0)</f>
        <v/>
      </c>
      <c r="T302">
        <f>IF(N302="Y",J302*K302*Escalation!$B$4,0)</f>
        <v/>
      </c>
      <c r="U302">
        <f>IF(O302="Y",J302*K302*Escalation!$B$5,0)</f>
        <v/>
      </c>
      <c r="V302">
        <f>IF(P302="Y",J302*K302*Escalation!$B$6,0)</f>
        <v/>
      </c>
      <c r="W302">
        <f>IF(Q302="Y",J302*K302*Escalation!$B$7,0)</f>
        <v/>
      </c>
      <c r="X302">
        <f>SUM(R302:W302)</f>
        <v/>
      </c>
    </row>
    <row r="303">
      <c r="J303">
        <f>IF(C303="FTE",B303*1880,B303)</f>
        <v/>
      </c>
      <c r="K303">
        <f>E303*(1+F303)*(1+G303)*(1+H303)*(1+I303)</f>
        <v/>
      </c>
      <c r="R303">
        <f>IF(L303="Y",J303*K303*Escalation!$B$2,0)</f>
        <v/>
      </c>
      <c r="S303">
        <f>IF(M303="Y",J303*K303*Escalation!$B$3,0)</f>
        <v/>
      </c>
      <c r="T303">
        <f>IF(N303="Y",J303*K303*Escalation!$B$4,0)</f>
        <v/>
      </c>
      <c r="U303">
        <f>IF(O303="Y",J303*K303*Escalation!$B$5,0)</f>
        <v/>
      </c>
      <c r="V303">
        <f>IF(P303="Y",J303*K303*Escalation!$B$6,0)</f>
        <v/>
      </c>
      <c r="W303">
        <f>IF(Q303="Y",J303*K303*Escalation!$B$7,0)</f>
        <v/>
      </c>
      <c r="X303">
        <f>SUM(R303:W303)</f>
        <v/>
      </c>
    </row>
    <row r="304">
      <c r="J304">
        <f>IF(C304="FTE",B304*1880,B304)</f>
        <v/>
      </c>
      <c r="K304">
        <f>E304*(1+F304)*(1+G304)*(1+H304)*(1+I304)</f>
        <v/>
      </c>
      <c r="R304">
        <f>IF(L304="Y",J304*K304*Escalation!$B$2,0)</f>
        <v/>
      </c>
      <c r="S304">
        <f>IF(M304="Y",J304*K304*Escalation!$B$3,0)</f>
        <v/>
      </c>
      <c r="T304">
        <f>IF(N304="Y",J304*K304*Escalation!$B$4,0)</f>
        <v/>
      </c>
      <c r="U304">
        <f>IF(O304="Y",J304*K304*Escalation!$B$5,0)</f>
        <v/>
      </c>
      <c r="V304">
        <f>IF(P304="Y",J304*K304*Escalation!$B$6,0)</f>
        <v/>
      </c>
      <c r="W304">
        <f>IF(Q304="Y",J304*K304*Escalation!$B$7,0)</f>
        <v/>
      </c>
      <c r="X304">
        <f>SUM(R304:W304)</f>
        <v/>
      </c>
    </row>
    <row r="305">
      <c r="J305">
        <f>IF(C305="FTE",B305*1880,B305)</f>
        <v/>
      </c>
      <c r="K305">
        <f>E305*(1+F305)*(1+G305)*(1+H305)*(1+I305)</f>
        <v/>
      </c>
      <c r="R305">
        <f>IF(L305="Y",J305*K305*Escalation!$B$2,0)</f>
        <v/>
      </c>
      <c r="S305">
        <f>IF(M305="Y",J305*K305*Escalation!$B$3,0)</f>
        <v/>
      </c>
      <c r="T305">
        <f>IF(N305="Y",J305*K305*Escalation!$B$4,0)</f>
        <v/>
      </c>
      <c r="U305">
        <f>IF(O305="Y",J305*K305*Escalation!$B$5,0)</f>
        <v/>
      </c>
      <c r="V305">
        <f>IF(P305="Y",J305*K305*Escalation!$B$6,0)</f>
        <v/>
      </c>
      <c r="W305">
        <f>IF(Q305="Y",J305*K305*Escalation!$B$7,0)</f>
        <v/>
      </c>
      <c r="X305">
        <f>SUM(R305:W305)</f>
        <v/>
      </c>
    </row>
    <row r="306">
      <c r="J306">
        <f>IF(C306="FTE",B306*1880,B306)</f>
        <v/>
      </c>
      <c r="K306">
        <f>E306*(1+F306)*(1+G306)*(1+H306)*(1+I306)</f>
        <v/>
      </c>
      <c r="R306">
        <f>IF(L306="Y",J306*K306*Escalation!$B$2,0)</f>
        <v/>
      </c>
      <c r="S306">
        <f>IF(M306="Y",J306*K306*Escalation!$B$3,0)</f>
        <v/>
      </c>
      <c r="T306">
        <f>IF(N306="Y",J306*K306*Escalation!$B$4,0)</f>
        <v/>
      </c>
      <c r="U306">
        <f>IF(O306="Y",J306*K306*Escalation!$B$5,0)</f>
        <v/>
      </c>
      <c r="V306">
        <f>IF(P306="Y",J306*K306*Escalation!$B$6,0)</f>
        <v/>
      </c>
      <c r="W306">
        <f>IF(Q306="Y",J306*K306*Escalation!$B$7,0)</f>
        <v/>
      </c>
      <c r="X306">
        <f>SUM(R306:W306)</f>
        <v/>
      </c>
    </row>
    <row r="307">
      <c r="J307">
        <f>IF(C307="FTE",B307*1880,B307)</f>
        <v/>
      </c>
      <c r="K307">
        <f>E307*(1+F307)*(1+G307)*(1+H307)*(1+I307)</f>
        <v/>
      </c>
      <c r="R307">
        <f>IF(L307="Y",J307*K307*Escalation!$B$2,0)</f>
        <v/>
      </c>
      <c r="S307">
        <f>IF(M307="Y",J307*K307*Escalation!$B$3,0)</f>
        <v/>
      </c>
      <c r="T307">
        <f>IF(N307="Y",J307*K307*Escalation!$B$4,0)</f>
        <v/>
      </c>
      <c r="U307">
        <f>IF(O307="Y",J307*K307*Escalation!$B$5,0)</f>
        <v/>
      </c>
      <c r="V307">
        <f>IF(P307="Y",J307*K307*Escalation!$B$6,0)</f>
        <v/>
      </c>
      <c r="W307">
        <f>IF(Q307="Y",J307*K307*Escalation!$B$7,0)</f>
        <v/>
      </c>
      <c r="X307">
        <f>SUM(R307:W307)</f>
        <v/>
      </c>
    </row>
    <row r="308">
      <c r="J308">
        <f>IF(C308="FTE",B308*1880,B308)</f>
        <v/>
      </c>
      <c r="K308">
        <f>E308*(1+F308)*(1+G308)*(1+H308)*(1+I308)</f>
        <v/>
      </c>
      <c r="R308">
        <f>IF(L308="Y",J308*K308*Escalation!$B$2,0)</f>
        <v/>
      </c>
      <c r="S308">
        <f>IF(M308="Y",J308*K308*Escalation!$B$3,0)</f>
        <v/>
      </c>
      <c r="T308">
        <f>IF(N308="Y",J308*K308*Escalation!$B$4,0)</f>
        <v/>
      </c>
      <c r="U308">
        <f>IF(O308="Y",J308*K308*Escalation!$B$5,0)</f>
        <v/>
      </c>
      <c r="V308">
        <f>IF(P308="Y",J308*K308*Escalation!$B$6,0)</f>
        <v/>
      </c>
      <c r="W308">
        <f>IF(Q308="Y",J308*K308*Escalation!$B$7,0)</f>
        <v/>
      </c>
      <c r="X308">
        <f>SUM(R308:W308)</f>
        <v/>
      </c>
    </row>
    <row r="309">
      <c r="J309">
        <f>IF(C309="FTE",B309*1880,B309)</f>
        <v/>
      </c>
      <c r="K309">
        <f>E309*(1+F309)*(1+G309)*(1+H309)*(1+I309)</f>
        <v/>
      </c>
      <c r="R309">
        <f>IF(L309="Y",J309*K309*Escalation!$B$2,0)</f>
        <v/>
      </c>
      <c r="S309">
        <f>IF(M309="Y",J309*K309*Escalation!$B$3,0)</f>
        <v/>
      </c>
      <c r="T309">
        <f>IF(N309="Y",J309*K309*Escalation!$B$4,0)</f>
        <v/>
      </c>
      <c r="U309">
        <f>IF(O309="Y",J309*K309*Escalation!$B$5,0)</f>
        <v/>
      </c>
      <c r="V309">
        <f>IF(P309="Y",J309*K309*Escalation!$B$6,0)</f>
        <v/>
      </c>
      <c r="W309">
        <f>IF(Q309="Y",J309*K309*Escalation!$B$7,0)</f>
        <v/>
      </c>
      <c r="X309">
        <f>SUM(R309:W309)</f>
        <v/>
      </c>
    </row>
    <row r="310">
      <c r="J310">
        <f>IF(C310="FTE",B310*1880,B310)</f>
        <v/>
      </c>
      <c r="K310">
        <f>E310*(1+F310)*(1+G310)*(1+H310)*(1+I310)</f>
        <v/>
      </c>
      <c r="R310">
        <f>IF(L310="Y",J310*K310*Escalation!$B$2,0)</f>
        <v/>
      </c>
      <c r="S310">
        <f>IF(M310="Y",J310*K310*Escalation!$B$3,0)</f>
        <v/>
      </c>
      <c r="T310">
        <f>IF(N310="Y",J310*K310*Escalation!$B$4,0)</f>
        <v/>
      </c>
      <c r="U310">
        <f>IF(O310="Y",J310*K310*Escalation!$B$5,0)</f>
        <v/>
      </c>
      <c r="V310">
        <f>IF(P310="Y",J310*K310*Escalation!$B$6,0)</f>
        <v/>
      </c>
      <c r="W310">
        <f>IF(Q310="Y",J310*K310*Escalation!$B$7,0)</f>
        <v/>
      </c>
      <c r="X310">
        <f>SUM(R310:W310)</f>
        <v/>
      </c>
    </row>
    <row r="311">
      <c r="J311">
        <f>IF(C311="FTE",B311*1880,B311)</f>
        <v/>
      </c>
      <c r="K311">
        <f>E311*(1+F311)*(1+G311)*(1+H311)*(1+I311)</f>
        <v/>
      </c>
      <c r="R311">
        <f>IF(L311="Y",J311*K311*Escalation!$B$2,0)</f>
        <v/>
      </c>
      <c r="S311">
        <f>IF(M311="Y",J311*K311*Escalation!$B$3,0)</f>
        <v/>
      </c>
      <c r="T311">
        <f>IF(N311="Y",J311*K311*Escalation!$B$4,0)</f>
        <v/>
      </c>
      <c r="U311">
        <f>IF(O311="Y",J311*K311*Escalation!$B$5,0)</f>
        <v/>
      </c>
      <c r="V311">
        <f>IF(P311="Y",J311*K311*Escalation!$B$6,0)</f>
        <v/>
      </c>
      <c r="W311">
        <f>IF(Q311="Y",J311*K311*Escalation!$B$7,0)</f>
        <v/>
      </c>
      <c r="X311">
        <f>SUM(R311:W311)</f>
        <v/>
      </c>
    </row>
    <row r="312">
      <c r="J312">
        <f>IF(C312="FTE",B312*1880,B312)</f>
        <v/>
      </c>
      <c r="K312">
        <f>E312*(1+F312)*(1+G312)*(1+H312)*(1+I312)</f>
        <v/>
      </c>
      <c r="R312">
        <f>IF(L312="Y",J312*K312*Escalation!$B$2,0)</f>
        <v/>
      </c>
      <c r="S312">
        <f>IF(M312="Y",J312*K312*Escalation!$B$3,0)</f>
        <v/>
      </c>
      <c r="T312">
        <f>IF(N312="Y",J312*K312*Escalation!$B$4,0)</f>
        <v/>
      </c>
      <c r="U312">
        <f>IF(O312="Y",J312*K312*Escalation!$B$5,0)</f>
        <v/>
      </c>
      <c r="V312">
        <f>IF(P312="Y",J312*K312*Escalation!$B$6,0)</f>
        <v/>
      </c>
      <c r="W312">
        <f>IF(Q312="Y",J312*K312*Escalation!$B$7,0)</f>
        <v/>
      </c>
      <c r="X312">
        <f>SUM(R312:W312)</f>
        <v/>
      </c>
    </row>
    <row r="313">
      <c r="J313">
        <f>IF(C313="FTE",B313*1880,B313)</f>
        <v/>
      </c>
      <c r="K313">
        <f>E313*(1+F313)*(1+G313)*(1+H313)*(1+I313)</f>
        <v/>
      </c>
      <c r="R313">
        <f>IF(L313="Y",J313*K313*Escalation!$B$2,0)</f>
        <v/>
      </c>
      <c r="S313">
        <f>IF(M313="Y",J313*K313*Escalation!$B$3,0)</f>
        <v/>
      </c>
      <c r="T313">
        <f>IF(N313="Y",J313*K313*Escalation!$B$4,0)</f>
        <v/>
      </c>
      <c r="U313">
        <f>IF(O313="Y",J313*K313*Escalation!$B$5,0)</f>
        <v/>
      </c>
      <c r="V313">
        <f>IF(P313="Y",J313*K313*Escalation!$B$6,0)</f>
        <v/>
      </c>
      <c r="W313">
        <f>IF(Q313="Y",J313*K313*Escalation!$B$7,0)</f>
        <v/>
      </c>
      <c r="X313">
        <f>SUM(R313:W313)</f>
        <v/>
      </c>
    </row>
    <row r="314">
      <c r="J314">
        <f>IF(C314="FTE",B314*1880,B314)</f>
        <v/>
      </c>
      <c r="K314">
        <f>E314*(1+F314)*(1+G314)*(1+H314)*(1+I314)</f>
        <v/>
      </c>
      <c r="R314">
        <f>IF(L314="Y",J314*K314*Escalation!$B$2,0)</f>
        <v/>
      </c>
      <c r="S314">
        <f>IF(M314="Y",J314*K314*Escalation!$B$3,0)</f>
        <v/>
      </c>
      <c r="T314">
        <f>IF(N314="Y",J314*K314*Escalation!$B$4,0)</f>
        <v/>
      </c>
      <c r="U314">
        <f>IF(O314="Y",J314*K314*Escalation!$B$5,0)</f>
        <v/>
      </c>
      <c r="V314">
        <f>IF(P314="Y",J314*K314*Escalation!$B$6,0)</f>
        <v/>
      </c>
      <c r="W314">
        <f>IF(Q314="Y",J314*K314*Escalation!$B$7,0)</f>
        <v/>
      </c>
      <c r="X314">
        <f>SUM(R314:W314)</f>
        <v/>
      </c>
    </row>
    <row r="315">
      <c r="J315">
        <f>IF(C315="FTE",B315*1880,B315)</f>
        <v/>
      </c>
      <c r="K315">
        <f>E315*(1+F315)*(1+G315)*(1+H315)*(1+I315)</f>
        <v/>
      </c>
      <c r="R315">
        <f>IF(L315="Y",J315*K315*Escalation!$B$2,0)</f>
        <v/>
      </c>
      <c r="S315">
        <f>IF(M315="Y",J315*K315*Escalation!$B$3,0)</f>
        <v/>
      </c>
      <c r="T315">
        <f>IF(N315="Y",J315*K315*Escalation!$B$4,0)</f>
        <v/>
      </c>
      <c r="U315">
        <f>IF(O315="Y",J315*K315*Escalation!$B$5,0)</f>
        <v/>
      </c>
      <c r="V315">
        <f>IF(P315="Y",J315*K315*Escalation!$B$6,0)</f>
        <v/>
      </c>
      <c r="W315">
        <f>IF(Q315="Y",J315*K315*Escalation!$B$7,0)</f>
        <v/>
      </c>
      <c r="X315">
        <f>SUM(R315:W315)</f>
        <v/>
      </c>
    </row>
    <row r="316">
      <c r="J316">
        <f>IF(C316="FTE",B316*1880,B316)</f>
        <v/>
      </c>
      <c r="K316">
        <f>E316*(1+F316)*(1+G316)*(1+H316)*(1+I316)</f>
        <v/>
      </c>
      <c r="R316">
        <f>IF(L316="Y",J316*K316*Escalation!$B$2,0)</f>
        <v/>
      </c>
      <c r="S316">
        <f>IF(M316="Y",J316*K316*Escalation!$B$3,0)</f>
        <v/>
      </c>
      <c r="T316">
        <f>IF(N316="Y",J316*K316*Escalation!$B$4,0)</f>
        <v/>
      </c>
      <c r="U316">
        <f>IF(O316="Y",J316*K316*Escalation!$B$5,0)</f>
        <v/>
      </c>
      <c r="V316">
        <f>IF(P316="Y",J316*K316*Escalation!$B$6,0)</f>
        <v/>
      </c>
      <c r="W316">
        <f>IF(Q316="Y",J316*K316*Escalation!$B$7,0)</f>
        <v/>
      </c>
      <c r="X316">
        <f>SUM(R316:W316)</f>
        <v/>
      </c>
    </row>
    <row r="317">
      <c r="J317">
        <f>IF(C317="FTE",B317*1880,B317)</f>
        <v/>
      </c>
      <c r="K317">
        <f>E317*(1+F317)*(1+G317)*(1+H317)*(1+I317)</f>
        <v/>
      </c>
      <c r="R317">
        <f>IF(L317="Y",J317*K317*Escalation!$B$2,0)</f>
        <v/>
      </c>
      <c r="S317">
        <f>IF(M317="Y",J317*K317*Escalation!$B$3,0)</f>
        <v/>
      </c>
      <c r="T317">
        <f>IF(N317="Y",J317*K317*Escalation!$B$4,0)</f>
        <v/>
      </c>
      <c r="U317">
        <f>IF(O317="Y",J317*K317*Escalation!$B$5,0)</f>
        <v/>
      </c>
      <c r="V317">
        <f>IF(P317="Y",J317*K317*Escalation!$B$6,0)</f>
        <v/>
      </c>
      <c r="W317">
        <f>IF(Q317="Y",J317*K317*Escalation!$B$7,0)</f>
        <v/>
      </c>
      <c r="X317">
        <f>SUM(R317:W317)</f>
        <v/>
      </c>
    </row>
    <row r="318">
      <c r="J318">
        <f>IF(C318="FTE",B318*1880,B318)</f>
        <v/>
      </c>
      <c r="K318">
        <f>E318*(1+F318)*(1+G318)*(1+H318)*(1+I318)</f>
        <v/>
      </c>
      <c r="R318">
        <f>IF(L318="Y",J318*K318*Escalation!$B$2,0)</f>
        <v/>
      </c>
      <c r="S318">
        <f>IF(M318="Y",J318*K318*Escalation!$B$3,0)</f>
        <v/>
      </c>
      <c r="T318">
        <f>IF(N318="Y",J318*K318*Escalation!$B$4,0)</f>
        <v/>
      </c>
      <c r="U318">
        <f>IF(O318="Y",J318*K318*Escalation!$B$5,0)</f>
        <v/>
      </c>
      <c r="V318">
        <f>IF(P318="Y",J318*K318*Escalation!$B$6,0)</f>
        <v/>
      </c>
      <c r="W318">
        <f>IF(Q318="Y",J318*K318*Escalation!$B$7,0)</f>
        <v/>
      </c>
      <c r="X318">
        <f>SUM(R318:W318)</f>
        <v/>
      </c>
    </row>
    <row r="319">
      <c r="J319">
        <f>IF(C319="FTE",B319*1880,B319)</f>
        <v/>
      </c>
      <c r="K319">
        <f>E319*(1+F319)*(1+G319)*(1+H319)*(1+I319)</f>
        <v/>
      </c>
      <c r="R319">
        <f>IF(L319="Y",J319*K319*Escalation!$B$2,0)</f>
        <v/>
      </c>
      <c r="S319">
        <f>IF(M319="Y",J319*K319*Escalation!$B$3,0)</f>
        <v/>
      </c>
      <c r="T319">
        <f>IF(N319="Y",J319*K319*Escalation!$B$4,0)</f>
        <v/>
      </c>
      <c r="U319">
        <f>IF(O319="Y",J319*K319*Escalation!$B$5,0)</f>
        <v/>
      </c>
      <c r="V319">
        <f>IF(P319="Y",J319*K319*Escalation!$B$6,0)</f>
        <v/>
      </c>
      <c r="W319">
        <f>IF(Q319="Y",J319*K319*Escalation!$B$7,0)</f>
        <v/>
      </c>
      <c r="X319">
        <f>SUM(R319:W319)</f>
        <v/>
      </c>
    </row>
    <row r="320">
      <c r="J320">
        <f>IF(C320="FTE",B320*1880,B320)</f>
        <v/>
      </c>
      <c r="K320">
        <f>E320*(1+F320)*(1+G320)*(1+H320)*(1+I320)</f>
        <v/>
      </c>
      <c r="R320">
        <f>IF(L320="Y",J320*K320*Escalation!$B$2,0)</f>
        <v/>
      </c>
      <c r="S320">
        <f>IF(M320="Y",J320*K320*Escalation!$B$3,0)</f>
        <v/>
      </c>
      <c r="T320">
        <f>IF(N320="Y",J320*K320*Escalation!$B$4,0)</f>
        <v/>
      </c>
      <c r="U320">
        <f>IF(O320="Y",J320*K320*Escalation!$B$5,0)</f>
        <v/>
      </c>
      <c r="V320">
        <f>IF(P320="Y",J320*K320*Escalation!$B$6,0)</f>
        <v/>
      </c>
      <c r="W320">
        <f>IF(Q320="Y",J320*K320*Escalation!$B$7,0)</f>
        <v/>
      </c>
      <c r="X320">
        <f>SUM(R320:W320)</f>
        <v/>
      </c>
    </row>
    <row r="321">
      <c r="J321">
        <f>IF(C321="FTE",B321*1880,B321)</f>
        <v/>
      </c>
      <c r="K321">
        <f>E321*(1+F321)*(1+G321)*(1+H321)*(1+I321)</f>
        <v/>
      </c>
      <c r="R321">
        <f>IF(L321="Y",J321*K321*Escalation!$B$2,0)</f>
        <v/>
      </c>
      <c r="S321">
        <f>IF(M321="Y",J321*K321*Escalation!$B$3,0)</f>
        <v/>
      </c>
      <c r="T321">
        <f>IF(N321="Y",J321*K321*Escalation!$B$4,0)</f>
        <v/>
      </c>
      <c r="U321">
        <f>IF(O321="Y",J321*K321*Escalation!$B$5,0)</f>
        <v/>
      </c>
      <c r="V321">
        <f>IF(P321="Y",J321*K321*Escalation!$B$6,0)</f>
        <v/>
      </c>
      <c r="W321">
        <f>IF(Q321="Y",J321*K321*Escalation!$B$7,0)</f>
        <v/>
      </c>
      <c r="X321">
        <f>SUM(R321:W321)</f>
        <v/>
      </c>
    </row>
    <row r="322">
      <c r="J322">
        <f>IF(C322="FTE",B322*1880,B322)</f>
        <v/>
      </c>
      <c r="K322">
        <f>E322*(1+F322)*(1+G322)*(1+H322)*(1+I322)</f>
        <v/>
      </c>
      <c r="R322">
        <f>IF(L322="Y",J322*K322*Escalation!$B$2,0)</f>
        <v/>
      </c>
      <c r="S322">
        <f>IF(M322="Y",J322*K322*Escalation!$B$3,0)</f>
        <v/>
      </c>
      <c r="T322">
        <f>IF(N322="Y",J322*K322*Escalation!$B$4,0)</f>
        <v/>
      </c>
      <c r="U322">
        <f>IF(O322="Y",J322*K322*Escalation!$B$5,0)</f>
        <v/>
      </c>
      <c r="V322">
        <f>IF(P322="Y",J322*K322*Escalation!$B$6,0)</f>
        <v/>
      </c>
      <c r="W322">
        <f>IF(Q322="Y",J322*K322*Escalation!$B$7,0)</f>
        <v/>
      </c>
      <c r="X322">
        <f>SUM(R322:W322)</f>
        <v/>
      </c>
    </row>
    <row r="323">
      <c r="J323">
        <f>IF(C323="FTE",B323*1880,B323)</f>
        <v/>
      </c>
      <c r="K323">
        <f>E323*(1+F323)*(1+G323)*(1+H323)*(1+I323)</f>
        <v/>
      </c>
      <c r="R323">
        <f>IF(L323="Y",J323*K323*Escalation!$B$2,0)</f>
        <v/>
      </c>
      <c r="S323">
        <f>IF(M323="Y",J323*K323*Escalation!$B$3,0)</f>
        <v/>
      </c>
      <c r="T323">
        <f>IF(N323="Y",J323*K323*Escalation!$B$4,0)</f>
        <v/>
      </c>
      <c r="U323">
        <f>IF(O323="Y",J323*K323*Escalation!$B$5,0)</f>
        <v/>
      </c>
      <c r="V323">
        <f>IF(P323="Y",J323*K323*Escalation!$B$6,0)</f>
        <v/>
      </c>
      <c r="W323">
        <f>IF(Q323="Y",J323*K323*Escalation!$B$7,0)</f>
        <v/>
      </c>
      <c r="X323">
        <f>SUM(R323:W323)</f>
        <v/>
      </c>
    </row>
    <row r="324">
      <c r="J324">
        <f>IF(C324="FTE",B324*1880,B324)</f>
        <v/>
      </c>
      <c r="K324">
        <f>E324*(1+F324)*(1+G324)*(1+H324)*(1+I324)</f>
        <v/>
      </c>
      <c r="R324">
        <f>IF(L324="Y",J324*K324*Escalation!$B$2,0)</f>
        <v/>
      </c>
      <c r="S324">
        <f>IF(M324="Y",J324*K324*Escalation!$B$3,0)</f>
        <v/>
      </c>
      <c r="T324">
        <f>IF(N324="Y",J324*K324*Escalation!$B$4,0)</f>
        <v/>
      </c>
      <c r="U324">
        <f>IF(O324="Y",J324*K324*Escalation!$B$5,0)</f>
        <v/>
      </c>
      <c r="V324">
        <f>IF(P324="Y",J324*K324*Escalation!$B$6,0)</f>
        <v/>
      </c>
      <c r="W324">
        <f>IF(Q324="Y",J324*K324*Escalation!$B$7,0)</f>
        <v/>
      </c>
      <c r="X324">
        <f>SUM(R324:W324)</f>
        <v/>
      </c>
    </row>
    <row r="325">
      <c r="J325">
        <f>IF(C325="FTE",B325*1880,B325)</f>
        <v/>
      </c>
      <c r="K325">
        <f>E325*(1+F325)*(1+G325)*(1+H325)*(1+I325)</f>
        <v/>
      </c>
      <c r="R325">
        <f>IF(L325="Y",J325*K325*Escalation!$B$2,0)</f>
        <v/>
      </c>
      <c r="S325">
        <f>IF(M325="Y",J325*K325*Escalation!$B$3,0)</f>
        <v/>
      </c>
      <c r="T325">
        <f>IF(N325="Y",J325*K325*Escalation!$B$4,0)</f>
        <v/>
      </c>
      <c r="U325">
        <f>IF(O325="Y",J325*K325*Escalation!$B$5,0)</f>
        <v/>
      </c>
      <c r="V325">
        <f>IF(P325="Y",J325*K325*Escalation!$B$6,0)</f>
        <v/>
      </c>
      <c r="W325">
        <f>IF(Q325="Y",J325*K325*Escalation!$B$7,0)</f>
        <v/>
      </c>
      <c r="X325">
        <f>SUM(R325:W325)</f>
        <v/>
      </c>
    </row>
    <row r="326">
      <c r="J326">
        <f>IF(C326="FTE",B326*1880,B326)</f>
        <v/>
      </c>
      <c r="K326">
        <f>E326*(1+F326)*(1+G326)*(1+H326)*(1+I326)</f>
        <v/>
      </c>
      <c r="R326">
        <f>IF(L326="Y",J326*K326*Escalation!$B$2,0)</f>
        <v/>
      </c>
      <c r="S326">
        <f>IF(M326="Y",J326*K326*Escalation!$B$3,0)</f>
        <v/>
      </c>
      <c r="T326">
        <f>IF(N326="Y",J326*K326*Escalation!$B$4,0)</f>
        <v/>
      </c>
      <c r="U326">
        <f>IF(O326="Y",J326*K326*Escalation!$B$5,0)</f>
        <v/>
      </c>
      <c r="V326">
        <f>IF(P326="Y",J326*K326*Escalation!$B$6,0)</f>
        <v/>
      </c>
      <c r="W326">
        <f>IF(Q326="Y",J326*K326*Escalation!$B$7,0)</f>
        <v/>
      </c>
      <c r="X326">
        <f>SUM(R326:W326)</f>
        <v/>
      </c>
    </row>
    <row r="327">
      <c r="J327">
        <f>IF(C327="FTE",B327*1880,B327)</f>
        <v/>
      </c>
      <c r="K327">
        <f>E327*(1+F327)*(1+G327)*(1+H327)*(1+I327)</f>
        <v/>
      </c>
      <c r="R327">
        <f>IF(L327="Y",J327*K327*Escalation!$B$2,0)</f>
        <v/>
      </c>
      <c r="S327">
        <f>IF(M327="Y",J327*K327*Escalation!$B$3,0)</f>
        <v/>
      </c>
      <c r="T327">
        <f>IF(N327="Y",J327*K327*Escalation!$B$4,0)</f>
        <v/>
      </c>
      <c r="U327">
        <f>IF(O327="Y",J327*K327*Escalation!$B$5,0)</f>
        <v/>
      </c>
      <c r="V327">
        <f>IF(P327="Y",J327*K327*Escalation!$B$6,0)</f>
        <v/>
      </c>
      <c r="W327">
        <f>IF(Q327="Y",J327*K327*Escalation!$B$7,0)</f>
        <v/>
      </c>
      <c r="X327">
        <f>SUM(R327:W327)</f>
        <v/>
      </c>
    </row>
    <row r="328">
      <c r="J328">
        <f>IF(C328="FTE",B328*1880,B328)</f>
        <v/>
      </c>
      <c r="K328">
        <f>E328*(1+F328)*(1+G328)*(1+H328)*(1+I328)</f>
        <v/>
      </c>
      <c r="R328">
        <f>IF(L328="Y",J328*K328*Escalation!$B$2,0)</f>
        <v/>
      </c>
      <c r="S328">
        <f>IF(M328="Y",J328*K328*Escalation!$B$3,0)</f>
        <v/>
      </c>
      <c r="T328">
        <f>IF(N328="Y",J328*K328*Escalation!$B$4,0)</f>
        <v/>
      </c>
      <c r="U328">
        <f>IF(O328="Y",J328*K328*Escalation!$B$5,0)</f>
        <v/>
      </c>
      <c r="V328">
        <f>IF(P328="Y",J328*K328*Escalation!$B$6,0)</f>
        <v/>
      </c>
      <c r="W328">
        <f>IF(Q328="Y",J328*K328*Escalation!$B$7,0)</f>
        <v/>
      </c>
      <c r="X328">
        <f>SUM(R328:W328)</f>
        <v/>
      </c>
    </row>
    <row r="329">
      <c r="J329">
        <f>IF(C329="FTE",B329*1880,B329)</f>
        <v/>
      </c>
      <c r="K329">
        <f>E329*(1+F329)*(1+G329)*(1+H329)*(1+I329)</f>
        <v/>
      </c>
      <c r="R329">
        <f>IF(L329="Y",J329*K329*Escalation!$B$2,0)</f>
        <v/>
      </c>
      <c r="S329">
        <f>IF(M329="Y",J329*K329*Escalation!$B$3,0)</f>
        <v/>
      </c>
      <c r="T329">
        <f>IF(N329="Y",J329*K329*Escalation!$B$4,0)</f>
        <v/>
      </c>
      <c r="U329">
        <f>IF(O329="Y",J329*K329*Escalation!$B$5,0)</f>
        <v/>
      </c>
      <c r="V329">
        <f>IF(P329="Y",J329*K329*Escalation!$B$6,0)</f>
        <v/>
      </c>
      <c r="W329">
        <f>IF(Q329="Y",J329*K329*Escalation!$B$7,0)</f>
        <v/>
      </c>
      <c r="X329">
        <f>SUM(R329:W329)</f>
        <v/>
      </c>
    </row>
    <row r="330">
      <c r="J330">
        <f>IF(C330="FTE",B330*1880,B330)</f>
        <v/>
      </c>
      <c r="K330">
        <f>E330*(1+F330)*(1+G330)*(1+H330)*(1+I330)</f>
        <v/>
      </c>
      <c r="R330">
        <f>IF(L330="Y",J330*K330*Escalation!$B$2,0)</f>
        <v/>
      </c>
      <c r="S330">
        <f>IF(M330="Y",J330*K330*Escalation!$B$3,0)</f>
        <v/>
      </c>
      <c r="T330">
        <f>IF(N330="Y",J330*K330*Escalation!$B$4,0)</f>
        <v/>
      </c>
      <c r="U330">
        <f>IF(O330="Y",J330*K330*Escalation!$B$5,0)</f>
        <v/>
      </c>
      <c r="V330">
        <f>IF(P330="Y",J330*K330*Escalation!$B$6,0)</f>
        <v/>
      </c>
      <c r="W330">
        <f>IF(Q330="Y",J330*K330*Escalation!$B$7,0)</f>
        <v/>
      </c>
      <c r="X330">
        <f>SUM(R330:W330)</f>
        <v/>
      </c>
    </row>
    <row r="331">
      <c r="J331">
        <f>IF(C331="FTE",B331*1880,B331)</f>
        <v/>
      </c>
      <c r="K331">
        <f>E331*(1+F331)*(1+G331)*(1+H331)*(1+I331)</f>
        <v/>
      </c>
      <c r="R331">
        <f>IF(L331="Y",J331*K331*Escalation!$B$2,0)</f>
        <v/>
      </c>
      <c r="S331">
        <f>IF(M331="Y",J331*K331*Escalation!$B$3,0)</f>
        <v/>
      </c>
      <c r="T331">
        <f>IF(N331="Y",J331*K331*Escalation!$B$4,0)</f>
        <v/>
      </c>
      <c r="U331">
        <f>IF(O331="Y",J331*K331*Escalation!$B$5,0)</f>
        <v/>
      </c>
      <c r="V331">
        <f>IF(P331="Y",J331*K331*Escalation!$B$6,0)</f>
        <v/>
      </c>
      <c r="W331">
        <f>IF(Q331="Y",J331*K331*Escalation!$B$7,0)</f>
        <v/>
      </c>
      <c r="X331">
        <f>SUM(R331:W331)</f>
        <v/>
      </c>
    </row>
    <row r="332">
      <c r="J332">
        <f>IF(C332="FTE",B332*1880,B332)</f>
        <v/>
      </c>
      <c r="K332">
        <f>E332*(1+F332)*(1+G332)*(1+H332)*(1+I332)</f>
        <v/>
      </c>
      <c r="R332">
        <f>IF(L332="Y",J332*K332*Escalation!$B$2,0)</f>
        <v/>
      </c>
      <c r="S332">
        <f>IF(M332="Y",J332*K332*Escalation!$B$3,0)</f>
        <v/>
      </c>
      <c r="T332">
        <f>IF(N332="Y",J332*K332*Escalation!$B$4,0)</f>
        <v/>
      </c>
      <c r="U332">
        <f>IF(O332="Y",J332*K332*Escalation!$B$5,0)</f>
        <v/>
      </c>
      <c r="V332">
        <f>IF(P332="Y",J332*K332*Escalation!$B$6,0)</f>
        <v/>
      </c>
      <c r="W332">
        <f>IF(Q332="Y",J332*K332*Escalation!$B$7,0)</f>
        <v/>
      </c>
      <c r="X332">
        <f>SUM(R332:W332)</f>
        <v/>
      </c>
    </row>
    <row r="333">
      <c r="J333">
        <f>IF(C333="FTE",B333*1880,B333)</f>
        <v/>
      </c>
      <c r="K333">
        <f>E333*(1+F333)*(1+G333)*(1+H333)*(1+I333)</f>
        <v/>
      </c>
      <c r="R333">
        <f>IF(L333="Y",J333*K333*Escalation!$B$2,0)</f>
        <v/>
      </c>
      <c r="S333">
        <f>IF(M333="Y",J333*K333*Escalation!$B$3,0)</f>
        <v/>
      </c>
      <c r="T333">
        <f>IF(N333="Y",J333*K333*Escalation!$B$4,0)</f>
        <v/>
      </c>
      <c r="U333">
        <f>IF(O333="Y",J333*K333*Escalation!$B$5,0)</f>
        <v/>
      </c>
      <c r="V333">
        <f>IF(P333="Y",J333*K333*Escalation!$B$6,0)</f>
        <v/>
      </c>
      <c r="W333">
        <f>IF(Q333="Y",J333*K333*Escalation!$B$7,0)</f>
        <v/>
      </c>
      <c r="X333">
        <f>SUM(R333:W333)</f>
        <v/>
      </c>
    </row>
    <row r="334">
      <c r="J334">
        <f>IF(C334="FTE",B334*1880,B334)</f>
        <v/>
      </c>
      <c r="K334">
        <f>E334*(1+F334)*(1+G334)*(1+H334)*(1+I334)</f>
        <v/>
      </c>
      <c r="R334">
        <f>IF(L334="Y",J334*K334*Escalation!$B$2,0)</f>
        <v/>
      </c>
      <c r="S334">
        <f>IF(M334="Y",J334*K334*Escalation!$B$3,0)</f>
        <v/>
      </c>
      <c r="T334">
        <f>IF(N334="Y",J334*K334*Escalation!$B$4,0)</f>
        <v/>
      </c>
      <c r="U334">
        <f>IF(O334="Y",J334*K334*Escalation!$B$5,0)</f>
        <v/>
      </c>
      <c r="V334">
        <f>IF(P334="Y",J334*K334*Escalation!$B$6,0)</f>
        <v/>
      </c>
      <c r="W334">
        <f>IF(Q334="Y",J334*K334*Escalation!$B$7,0)</f>
        <v/>
      </c>
      <c r="X334">
        <f>SUM(R334:W334)</f>
        <v/>
      </c>
    </row>
    <row r="335">
      <c r="J335">
        <f>IF(C335="FTE",B335*1880,B335)</f>
        <v/>
      </c>
      <c r="K335">
        <f>E335*(1+F335)*(1+G335)*(1+H335)*(1+I335)</f>
        <v/>
      </c>
      <c r="R335">
        <f>IF(L335="Y",J335*K335*Escalation!$B$2,0)</f>
        <v/>
      </c>
      <c r="S335">
        <f>IF(M335="Y",J335*K335*Escalation!$B$3,0)</f>
        <v/>
      </c>
      <c r="T335">
        <f>IF(N335="Y",J335*K335*Escalation!$B$4,0)</f>
        <v/>
      </c>
      <c r="U335">
        <f>IF(O335="Y",J335*K335*Escalation!$B$5,0)</f>
        <v/>
      </c>
      <c r="V335">
        <f>IF(P335="Y",J335*K335*Escalation!$B$6,0)</f>
        <v/>
      </c>
      <c r="W335">
        <f>IF(Q335="Y",J335*K335*Escalation!$B$7,0)</f>
        <v/>
      </c>
      <c r="X335">
        <f>SUM(R335:W335)</f>
        <v/>
      </c>
    </row>
    <row r="336">
      <c r="J336">
        <f>IF(C336="FTE",B336*1880,B336)</f>
        <v/>
      </c>
      <c r="K336">
        <f>E336*(1+F336)*(1+G336)*(1+H336)*(1+I336)</f>
        <v/>
      </c>
      <c r="R336">
        <f>IF(L336="Y",J336*K336*Escalation!$B$2,0)</f>
        <v/>
      </c>
      <c r="S336">
        <f>IF(M336="Y",J336*K336*Escalation!$B$3,0)</f>
        <v/>
      </c>
      <c r="T336">
        <f>IF(N336="Y",J336*K336*Escalation!$B$4,0)</f>
        <v/>
      </c>
      <c r="U336">
        <f>IF(O336="Y",J336*K336*Escalation!$B$5,0)</f>
        <v/>
      </c>
      <c r="V336">
        <f>IF(P336="Y",J336*K336*Escalation!$B$6,0)</f>
        <v/>
      </c>
      <c r="W336">
        <f>IF(Q336="Y",J336*K336*Escalation!$B$7,0)</f>
        <v/>
      </c>
      <c r="X336">
        <f>SUM(R336:W336)</f>
        <v/>
      </c>
    </row>
    <row r="337">
      <c r="J337">
        <f>IF(C337="FTE",B337*1880,B337)</f>
        <v/>
      </c>
      <c r="K337">
        <f>E337*(1+F337)*(1+G337)*(1+H337)*(1+I337)</f>
        <v/>
      </c>
      <c r="R337">
        <f>IF(L337="Y",J337*K337*Escalation!$B$2,0)</f>
        <v/>
      </c>
      <c r="S337">
        <f>IF(M337="Y",J337*K337*Escalation!$B$3,0)</f>
        <v/>
      </c>
      <c r="T337">
        <f>IF(N337="Y",J337*K337*Escalation!$B$4,0)</f>
        <v/>
      </c>
      <c r="U337">
        <f>IF(O337="Y",J337*K337*Escalation!$B$5,0)</f>
        <v/>
      </c>
      <c r="V337">
        <f>IF(P337="Y",J337*K337*Escalation!$B$6,0)</f>
        <v/>
      </c>
      <c r="W337">
        <f>IF(Q337="Y",J337*K337*Escalation!$B$7,0)</f>
        <v/>
      </c>
      <c r="X337">
        <f>SUM(R337:W337)</f>
        <v/>
      </c>
    </row>
    <row r="338">
      <c r="J338">
        <f>IF(C338="FTE",B338*1880,B338)</f>
        <v/>
      </c>
      <c r="K338">
        <f>E338*(1+F338)*(1+G338)*(1+H338)*(1+I338)</f>
        <v/>
      </c>
      <c r="R338">
        <f>IF(L338="Y",J338*K338*Escalation!$B$2,0)</f>
        <v/>
      </c>
      <c r="S338">
        <f>IF(M338="Y",J338*K338*Escalation!$B$3,0)</f>
        <v/>
      </c>
      <c r="T338">
        <f>IF(N338="Y",J338*K338*Escalation!$B$4,0)</f>
        <v/>
      </c>
      <c r="U338">
        <f>IF(O338="Y",J338*K338*Escalation!$B$5,0)</f>
        <v/>
      </c>
      <c r="V338">
        <f>IF(P338="Y",J338*K338*Escalation!$B$6,0)</f>
        <v/>
      </c>
      <c r="W338">
        <f>IF(Q338="Y",J338*K338*Escalation!$B$7,0)</f>
        <v/>
      </c>
      <c r="X338">
        <f>SUM(R338:W338)</f>
        <v/>
      </c>
    </row>
    <row r="339">
      <c r="J339">
        <f>IF(C339="FTE",B339*1880,B339)</f>
        <v/>
      </c>
      <c r="K339">
        <f>E339*(1+F339)*(1+G339)*(1+H339)*(1+I339)</f>
        <v/>
      </c>
      <c r="R339">
        <f>IF(L339="Y",J339*K339*Escalation!$B$2,0)</f>
        <v/>
      </c>
      <c r="S339">
        <f>IF(M339="Y",J339*K339*Escalation!$B$3,0)</f>
        <v/>
      </c>
      <c r="T339">
        <f>IF(N339="Y",J339*K339*Escalation!$B$4,0)</f>
        <v/>
      </c>
      <c r="U339">
        <f>IF(O339="Y",J339*K339*Escalation!$B$5,0)</f>
        <v/>
      </c>
      <c r="V339">
        <f>IF(P339="Y",J339*K339*Escalation!$B$6,0)</f>
        <v/>
      </c>
      <c r="W339">
        <f>IF(Q339="Y",J339*K339*Escalation!$B$7,0)</f>
        <v/>
      </c>
      <c r="X339">
        <f>SUM(R339:W339)</f>
        <v/>
      </c>
    </row>
    <row r="340">
      <c r="J340">
        <f>IF(C340="FTE",B340*1880,B340)</f>
        <v/>
      </c>
      <c r="K340">
        <f>E340*(1+F340)*(1+G340)*(1+H340)*(1+I340)</f>
        <v/>
      </c>
      <c r="R340">
        <f>IF(L340="Y",J340*K340*Escalation!$B$2,0)</f>
        <v/>
      </c>
      <c r="S340">
        <f>IF(M340="Y",J340*K340*Escalation!$B$3,0)</f>
        <v/>
      </c>
      <c r="T340">
        <f>IF(N340="Y",J340*K340*Escalation!$B$4,0)</f>
        <v/>
      </c>
      <c r="U340">
        <f>IF(O340="Y",J340*K340*Escalation!$B$5,0)</f>
        <v/>
      </c>
      <c r="V340">
        <f>IF(P340="Y",J340*K340*Escalation!$B$6,0)</f>
        <v/>
      </c>
      <c r="W340">
        <f>IF(Q340="Y",J340*K340*Escalation!$B$7,0)</f>
        <v/>
      </c>
      <c r="X340">
        <f>SUM(R340:W340)</f>
        <v/>
      </c>
    </row>
    <row r="341">
      <c r="J341">
        <f>IF(C341="FTE",B341*1880,B341)</f>
        <v/>
      </c>
      <c r="K341">
        <f>E341*(1+F341)*(1+G341)*(1+H341)*(1+I341)</f>
        <v/>
      </c>
      <c r="R341">
        <f>IF(L341="Y",J341*K341*Escalation!$B$2,0)</f>
        <v/>
      </c>
      <c r="S341">
        <f>IF(M341="Y",J341*K341*Escalation!$B$3,0)</f>
        <v/>
      </c>
      <c r="T341">
        <f>IF(N341="Y",J341*K341*Escalation!$B$4,0)</f>
        <v/>
      </c>
      <c r="U341">
        <f>IF(O341="Y",J341*K341*Escalation!$B$5,0)</f>
        <v/>
      </c>
      <c r="V341">
        <f>IF(P341="Y",J341*K341*Escalation!$B$6,0)</f>
        <v/>
      </c>
      <c r="W341">
        <f>IF(Q341="Y",J341*K341*Escalation!$B$7,0)</f>
        <v/>
      </c>
      <c r="X341">
        <f>SUM(R341:W341)</f>
        <v/>
      </c>
    </row>
    <row r="342">
      <c r="J342">
        <f>IF(C342="FTE",B342*1880,B342)</f>
        <v/>
      </c>
      <c r="K342">
        <f>E342*(1+F342)*(1+G342)*(1+H342)*(1+I342)</f>
        <v/>
      </c>
      <c r="R342">
        <f>IF(L342="Y",J342*K342*Escalation!$B$2,0)</f>
        <v/>
      </c>
      <c r="S342">
        <f>IF(M342="Y",J342*K342*Escalation!$B$3,0)</f>
        <v/>
      </c>
      <c r="T342">
        <f>IF(N342="Y",J342*K342*Escalation!$B$4,0)</f>
        <v/>
      </c>
      <c r="U342">
        <f>IF(O342="Y",J342*K342*Escalation!$B$5,0)</f>
        <v/>
      </c>
      <c r="V342">
        <f>IF(P342="Y",J342*K342*Escalation!$B$6,0)</f>
        <v/>
      </c>
      <c r="W342">
        <f>IF(Q342="Y",J342*K342*Escalation!$B$7,0)</f>
        <v/>
      </c>
      <c r="X342">
        <f>SUM(R342:W342)</f>
        <v/>
      </c>
    </row>
    <row r="343">
      <c r="J343">
        <f>IF(C343="FTE",B343*1880,B343)</f>
        <v/>
      </c>
      <c r="K343">
        <f>E343*(1+F343)*(1+G343)*(1+H343)*(1+I343)</f>
        <v/>
      </c>
      <c r="R343">
        <f>IF(L343="Y",J343*K343*Escalation!$B$2,0)</f>
        <v/>
      </c>
      <c r="S343">
        <f>IF(M343="Y",J343*K343*Escalation!$B$3,0)</f>
        <v/>
      </c>
      <c r="T343">
        <f>IF(N343="Y",J343*K343*Escalation!$B$4,0)</f>
        <v/>
      </c>
      <c r="U343">
        <f>IF(O343="Y",J343*K343*Escalation!$B$5,0)</f>
        <v/>
      </c>
      <c r="V343">
        <f>IF(P343="Y",J343*K343*Escalation!$B$6,0)</f>
        <v/>
      </c>
      <c r="W343">
        <f>IF(Q343="Y",J343*K343*Escalation!$B$7,0)</f>
        <v/>
      </c>
      <c r="X343">
        <f>SUM(R343:W343)</f>
        <v/>
      </c>
    </row>
    <row r="344">
      <c r="J344">
        <f>IF(C344="FTE",B344*1880,B344)</f>
        <v/>
      </c>
      <c r="K344">
        <f>E344*(1+F344)*(1+G344)*(1+H344)*(1+I344)</f>
        <v/>
      </c>
      <c r="R344">
        <f>IF(L344="Y",J344*K344*Escalation!$B$2,0)</f>
        <v/>
      </c>
      <c r="S344">
        <f>IF(M344="Y",J344*K344*Escalation!$B$3,0)</f>
        <v/>
      </c>
      <c r="T344">
        <f>IF(N344="Y",J344*K344*Escalation!$B$4,0)</f>
        <v/>
      </c>
      <c r="U344">
        <f>IF(O344="Y",J344*K344*Escalation!$B$5,0)</f>
        <v/>
      </c>
      <c r="V344">
        <f>IF(P344="Y",J344*K344*Escalation!$B$6,0)</f>
        <v/>
      </c>
      <c r="W344">
        <f>IF(Q344="Y",J344*K344*Escalation!$B$7,0)</f>
        <v/>
      </c>
      <c r="X344">
        <f>SUM(R344:W344)</f>
        <v/>
      </c>
    </row>
    <row r="345">
      <c r="J345">
        <f>IF(C345="FTE",B345*1880,B345)</f>
        <v/>
      </c>
      <c r="K345">
        <f>E345*(1+F345)*(1+G345)*(1+H345)*(1+I345)</f>
        <v/>
      </c>
      <c r="R345">
        <f>IF(L345="Y",J345*K345*Escalation!$B$2,0)</f>
        <v/>
      </c>
      <c r="S345">
        <f>IF(M345="Y",J345*K345*Escalation!$B$3,0)</f>
        <v/>
      </c>
      <c r="T345">
        <f>IF(N345="Y",J345*K345*Escalation!$B$4,0)</f>
        <v/>
      </c>
      <c r="U345">
        <f>IF(O345="Y",J345*K345*Escalation!$B$5,0)</f>
        <v/>
      </c>
      <c r="V345">
        <f>IF(P345="Y",J345*K345*Escalation!$B$6,0)</f>
        <v/>
      </c>
      <c r="W345">
        <f>IF(Q345="Y",J345*K345*Escalation!$B$7,0)</f>
        <v/>
      </c>
      <c r="X345">
        <f>SUM(R345:W345)</f>
        <v/>
      </c>
    </row>
    <row r="346">
      <c r="J346">
        <f>IF(C346="FTE",B346*1880,B346)</f>
        <v/>
      </c>
      <c r="K346">
        <f>E346*(1+F346)*(1+G346)*(1+H346)*(1+I346)</f>
        <v/>
      </c>
      <c r="R346">
        <f>IF(L346="Y",J346*K346*Escalation!$B$2,0)</f>
        <v/>
      </c>
      <c r="S346">
        <f>IF(M346="Y",J346*K346*Escalation!$B$3,0)</f>
        <v/>
      </c>
      <c r="T346">
        <f>IF(N346="Y",J346*K346*Escalation!$B$4,0)</f>
        <v/>
      </c>
      <c r="U346">
        <f>IF(O346="Y",J346*K346*Escalation!$B$5,0)</f>
        <v/>
      </c>
      <c r="V346">
        <f>IF(P346="Y",J346*K346*Escalation!$B$6,0)</f>
        <v/>
      </c>
      <c r="W346">
        <f>IF(Q346="Y",J346*K346*Escalation!$B$7,0)</f>
        <v/>
      </c>
      <c r="X346">
        <f>SUM(R346:W346)</f>
        <v/>
      </c>
    </row>
    <row r="347">
      <c r="J347">
        <f>IF(C347="FTE",B347*1880,B347)</f>
        <v/>
      </c>
      <c r="K347">
        <f>E347*(1+F347)*(1+G347)*(1+H347)*(1+I347)</f>
        <v/>
      </c>
      <c r="R347">
        <f>IF(L347="Y",J347*K347*Escalation!$B$2,0)</f>
        <v/>
      </c>
      <c r="S347">
        <f>IF(M347="Y",J347*K347*Escalation!$B$3,0)</f>
        <v/>
      </c>
      <c r="T347">
        <f>IF(N347="Y",J347*K347*Escalation!$B$4,0)</f>
        <v/>
      </c>
      <c r="U347">
        <f>IF(O347="Y",J347*K347*Escalation!$B$5,0)</f>
        <v/>
      </c>
      <c r="V347">
        <f>IF(P347="Y",J347*K347*Escalation!$B$6,0)</f>
        <v/>
      </c>
      <c r="W347">
        <f>IF(Q347="Y",J347*K347*Escalation!$B$7,0)</f>
        <v/>
      </c>
      <c r="X347">
        <f>SUM(R347:W347)</f>
        <v/>
      </c>
    </row>
    <row r="348">
      <c r="J348">
        <f>IF(C348="FTE",B348*1880,B348)</f>
        <v/>
      </c>
      <c r="K348">
        <f>E348*(1+F348)*(1+G348)*(1+H348)*(1+I348)</f>
        <v/>
      </c>
      <c r="R348">
        <f>IF(L348="Y",J348*K348*Escalation!$B$2,0)</f>
        <v/>
      </c>
      <c r="S348">
        <f>IF(M348="Y",J348*K348*Escalation!$B$3,0)</f>
        <v/>
      </c>
      <c r="T348">
        <f>IF(N348="Y",J348*K348*Escalation!$B$4,0)</f>
        <v/>
      </c>
      <c r="U348">
        <f>IF(O348="Y",J348*K348*Escalation!$B$5,0)</f>
        <v/>
      </c>
      <c r="V348">
        <f>IF(P348="Y",J348*K348*Escalation!$B$6,0)</f>
        <v/>
      </c>
      <c r="W348">
        <f>IF(Q348="Y",J348*K348*Escalation!$B$7,0)</f>
        <v/>
      </c>
      <c r="X348">
        <f>SUM(R348:W348)</f>
        <v/>
      </c>
    </row>
    <row r="349">
      <c r="J349">
        <f>IF(C349="FTE",B349*1880,B349)</f>
        <v/>
      </c>
      <c r="K349">
        <f>E349*(1+F349)*(1+G349)*(1+H349)*(1+I349)</f>
        <v/>
      </c>
      <c r="R349">
        <f>IF(L349="Y",J349*K349*Escalation!$B$2,0)</f>
        <v/>
      </c>
      <c r="S349">
        <f>IF(M349="Y",J349*K349*Escalation!$B$3,0)</f>
        <v/>
      </c>
      <c r="T349">
        <f>IF(N349="Y",J349*K349*Escalation!$B$4,0)</f>
        <v/>
      </c>
      <c r="U349">
        <f>IF(O349="Y",J349*K349*Escalation!$B$5,0)</f>
        <v/>
      </c>
      <c r="V349">
        <f>IF(P349="Y",J349*K349*Escalation!$B$6,0)</f>
        <v/>
      </c>
      <c r="W349">
        <f>IF(Q349="Y",J349*K349*Escalation!$B$7,0)</f>
        <v/>
      </c>
      <c r="X349">
        <f>SUM(R349:W349)</f>
        <v/>
      </c>
    </row>
    <row r="350">
      <c r="J350">
        <f>IF(C350="FTE",B350*1880,B350)</f>
        <v/>
      </c>
      <c r="K350">
        <f>E350*(1+F350)*(1+G350)*(1+H350)*(1+I350)</f>
        <v/>
      </c>
      <c r="R350">
        <f>IF(L350="Y",J350*K350*Escalation!$B$2,0)</f>
        <v/>
      </c>
      <c r="S350">
        <f>IF(M350="Y",J350*K350*Escalation!$B$3,0)</f>
        <v/>
      </c>
      <c r="T350">
        <f>IF(N350="Y",J350*K350*Escalation!$B$4,0)</f>
        <v/>
      </c>
      <c r="U350">
        <f>IF(O350="Y",J350*K350*Escalation!$B$5,0)</f>
        <v/>
      </c>
      <c r="V350">
        <f>IF(P350="Y",J350*K350*Escalation!$B$6,0)</f>
        <v/>
      </c>
      <c r="W350">
        <f>IF(Q350="Y",J350*K350*Escalation!$B$7,0)</f>
        <v/>
      </c>
      <c r="X350">
        <f>SUM(R350:W350)</f>
        <v/>
      </c>
    </row>
    <row r="351">
      <c r="J351">
        <f>IF(C351="FTE",B351*1880,B351)</f>
        <v/>
      </c>
      <c r="K351">
        <f>E351*(1+F351)*(1+G351)*(1+H351)*(1+I351)</f>
        <v/>
      </c>
      <c r="R351">
        <f>IF(L351="Y",J351*K351*Escalation!$B$2,0)</f>
        <v/>
      </c>
      <c r="S351">
        <f>IF(M351="Y",J351*K351*Escalation!$B$3,0)</f>
        <v/>
      </c>
      <c r="T351">
        <f>IF(N351="Y",J351*K351*Escalation!$B$4,0)</f>
        <v/>
      </c>
      <c r="U351">
        <f>IF(O351="Y",J351*K351*Escalation!$B$5,0)</f>
        <v/>
      </c>
      <c r="V351">
        <f>IF(P351="Y",J351*K351*Escalation!$B$6,0)</f>
        <v/>
      </c>
      <c r="W351">
        <f>IF(Q351="Y",J351*K351*Escalation!$B$7,0)</f>
        <v/>
      </c>
      <c r="X351">
        <f>SUM(R351:W351)</f>
        <v/>
      </c>
    </row>
    <row r="352">
      <c r="J352">
        <f>IF(C352="FTE",B352*1880,B352)</f>
        <v/>
      </c>
      <c r="K352">
        <f>E352*(1+F352)*(1+G352)*(1+H352)*(1+I352)</f>
        <v/>
      </c>
      <c r="R352">
        <f>IF(L352="Y",J352*K352*Escalation!$B$2,0)</f>
        <v/>
      </c>
      <c r="S352">
        <f>IF(M352="Y",J352*K352*Escalation!$B$3,0)</f>
        <v/>
      </c>
      <c r="T352">
        <f>IF(N352="Y",J352*K352*Escalation!$B$4,0)</f>
        <v/>
      </c>
      <c r="U352">
        <f>IF(O352="Y",J352*K352*Escalation!$B$5,0)</f>
        <v/>
      </c>
      <c r="V352">
        <f>IF(P352="Y",J352*K352*Escalation!$B$6,0)</f>
        <v/>
      </c>
      <c r="W352">
        <f>IF(Q352="Y",J352*K352*Escalation!$B$7,0)</f>
        <v/>
      </c>
      <c r="X352">
        <f>SUM(R352:W352)</f>
        <v/>
      </c>
    </row>
    <row r="353">
      <c r="J353">
        <f>IF(C353="FTE",B353*1880,B353)</f>
        <v/>
      </c>
      <c r="K353">
        <f>E353*(1+F353)*(1+G353)*(1+H353)*(1+I353)</f>
        <v/>
      </c>
      <c r="R353">
        <f>IF(L353="Y",J353*K353*Escalation!$B$2,0)</f>
        <v/>
      </c>
      <c r="S353">
        <f>IF(M353="Y",J353*K353*Escalation!$B$3,0)</f>
        <v/>
      </c>
      <c r="T353">
        <f>IF(N353="Y",J353*K353*Escalation!$B$4,0)</f>
        <v/>
      </c>
      <c r="U353">
        <f>IF(O353="Y",J353*K353*Escalation!$B$5,0)</f>
        <v/>
      </c>
      <c r="V353">
        <f>IF(P353="Y",J353*K353*Escalation!$B$6,0)</f>
        <v/>
      </c>
      <c r="W353">
        <f>IF(Q353="Y",J353*K353*Escalation!$B$7,0)</f>
        <v/>
      </c>
      <c r="X353">
        <f>SUM(R353:W353)</f>
        <v/>
      </c>
    </row>
    <row r="354">
      <c r="J354">
        <f>IF(C354="FTE",B354*1880,B354)</f>
        <v/>
      </c>
      <c r="K354">
        <f>E354*(1+F354)*(1+G354)*(1+H354)*(1+I354)</f>
        <v/>
      </c>
      <c r="R354">
        <f>IF(L354="Y",J354*K354*Escalation!$B$2,0)</f>
        <v/>
      </c>
      <c r="S354">
        <f>IF(M354="Y",J354*K354*Escalation!$B$3,0)</f>
        <v/>
      </c>
      <c r="T354">
        <f>IF(N354="Y",J354*K354*Escalation!$B$4,0)</f>
        <v/>
      </c>
      <c r="U354">
        <f>IF(O354="Y",J354*K354*Escalation!$B$5,0)</f>
        <v/>
      </c>
      <c r="V354">
        <f>IF(P354="Y",J354*K354*Escalation!$B$6,0)</f>
        <v/>
      </c>
      <c r="W354">
        <f>IF(Q354="Y",J354*K354*Escalation!$B$7,0)</f>
        <v/>
      </c>
      <c r="X354">
        <f>SUM(R354:W354)</f>
        <v/>
      </c>
    </row>
    <row r="355">
      <c r="J355">
        <f>IF(C355="FTE",B355*1880,B355)</f>
        <v/>
      </c>
      <c r="K355">
        <f>E355*(1+F355)*(1+G355)*(1+H355)*(1+I355)</f>
        <v/>
      </c>
      <c r="R355">
        <f>IF(L355="Y",J355*K355*Escalation!$B$2,0)</f>
        <v/>
      </c>
      <c r="S355">
        <f>IF(M355="Y",J355*K355*Escalation!$B$3,0)</f>
        <v/>
      </c>
      <c r="T355">
        <f>IF(N355="Y",J355*K355*Escalation!$B$4,0)</f>
        <v/>
      </c>
      <c r="U355">
        <f>IF(O355="Y",J355*K355*Escalation!$B$5,0)</f>
        <v/>
      </c>
      <c r="V355">
        <f>IF(P355="Y",J355*K355*Escalation!$B$6,0)</f>
        <v/>
      </c>
      <c r="W355">
        <f>IF(Q355="Y",J355*K355*Escalation!$B$7,0)</f>
        <v/>
      </c>
      <c r="X355">
        <f>SUM(R355:W355)</f>
        <v/>
      </c>
    </row>
    <row r="356">
      <c r="J356">
        <f>IF(C356="FTE",B356*1880,B356)</f>
        <v/>
      </c>
      <c r="K356">
        <f>E356*(1+F356)*(1+G356)*(1+H356)*(1+I356)</f>
        <v/>
      </c>
      <c r="R356">
        <f>IF(L356="Y",J356*K356*Escalation!$B$2,0)</f>
        <v/>
      </c>
      <c r="S356">
        <f>IF(M356="Y",J356*K356*Escalation!$B$3,0)</f>
        <v/>
      </c>
      <c r="T356">
        <f>IF(N356="Y",J356*K356*Escalation!$B$4,0)</f>
        <v/>
      </c>
      <c r="U356">
        <f>IF(O356="Y",J356*K356*Escalation!$B$5,0)</f>
        <v/>
      </c>
      <c r="V356">
        <f>IF(P356="Y",J356*K356*Escalation!$B$6,0)</f>
        <v/>
      </c>
      <c r="W356">
        <f>IF(Q356="Y",J356*K356*Escalation!$B$7,0)</f>
        <v/>
      </c>
      <c r="X356">
        <f>SUM(R356:W356)</f>
        <v/>
      </c>
    </row>
    <row r="357">
      <c r="J357">
        <f>IF(C357="FTE",B357*1880,B357)</f>
        <v/>
      </c>
      <c r="K357">
        <f>E357*(1+F357)*(1+G357)*(1+H357)*(1+I357)</f>
        <v/>
      </c>
      <c r="R357">
        <f>IF(L357="Y",J357*K357*Escalation!$B$2,0)</f>
        <v/>
      </c>
      <c r="S357">
        <f>IF(M357="Y",J357*K357*Escalation!$B$3,0)</f>
        <v/>
      </c>
      <c r="T357">
        <f>IF(N357="Y",J357*K357*Escalation!$B$4,0)</f>
        <v/>
      </c>
      <c r="U357">
        <f>IF(O357="Y",J357*K357*Escalation!$B$5,0)</f>
        <v/>
      </c>
      <c r="V357">
        <f>IF(P357="Y",J357*K357*Escalation!$B$6,0)</f>
        <v/>
      </c>
      <c r="W357">
        <f>IF(Q357="Y",J357*K357*Escalation!$B$7,0)</f>
        <v/>
      </c>
      <c r="X357">
        <f>SUM(R357:W357)</f>
        <v/>
      </c>
    </row>
    <row r="358">
      <c r="J358">
        <f>IF(C358="FTE",B358*1880,B358)</f>
        <v/>
      </c>
      <c r="K358">
        <f>E358*(1+F358)*(1+G358)*(1+H358)*(1+I358)</f>
        <v/>
      </c>
      <c r="R358">
        <f>IF(L358="Y",J358*K358*Escalation!$B$2,0)</f>
        <v/>
      </c>
      <c r="S358">
        <f>IF(M358="Y",J358*K358*Escalation!$B$3,0)</f>
        <v/>
      </c>
      <c r="T358">
        <f>IF(N358="Y",J358*K358*Escalation!$B$4,0)</f>
        <v/>
      </c>
      <c r="U358">
        <f>IF(O358="Y",J358*K358*Escalation!$B$5,0)</f>
        <v/>
      </c>
      <c r="V358">
        <f>IF(P358="Y",J358*K358*Escalation!$B$6,0)</f>
        <v/>
      </c>
      <c r="W358">
        <f>IF(Q358="Y",J358*K358*Escalation!$B$7,0)</f>
        <v/>
      </c>
      <c r="X358">
        <f>SUM(R358:W358)</f>
        <v/>
      </c>
    </row>
    <row r="359">
      <c r="J359">
        <f>IF(C359="FTE",B359*1880,B359)</f>
        <v/>
      </c>
      <c r="K359">
        <f>E359*(1+F359)*(1+G359)*(1+H359)*(1+I359)</f>
        <v/>
      </c>
      <c r="R359">
        <f>IF(L359="Y",J359*K359*Escalation!$B$2,0)</f>
        <v/>
      </c>
      <c r="S359">
        <f>IF(M359="Y",J359*K359*Escalation!$B$3,0)</f>
        <v/>
      </c>
      <c r="T359">
        <f>IF(N359="Y",J359*K359*Escalation!$B$4,0)</f>
        <v/>
      </c>
      <c r="U359">
        <f>IF(O359="Y",J359*K359*Escalation!$B$5,0)</f>
        <v/>
      </c>
      <c r="V359">
        <f>IF(P359="Y",J359*K359*Escalation!$B$6,0)</f>
        <v/>
      </c>
      <c r="W359">
        <f>IF(Q359="Y",J359*K359*Escalation!$B$7,0)</f>
        <v/>
      </c>
      <c r="X359">
        <f>SUM(R359:W359)</f>
        <v/>
      </c>
    </row>
    <row r="360">
      <c r="J360">
        <f>IF(C360="FTE",B360*1880,B360)</f>
        <v/>
      </c>
      <c r="K360">
        <f>E360*(1+F360)*(1+G360)*(1+H360)*(1+I360)</f>
        <v/>
      </c>
      <c r="R360">
        <f>IF(L360="Y",J360*K360*Escalation!$B$2,0)</f>
        <v/>
      </c>
      <c r="S360">
        <f>IF(M360="Y",J360*K360*Escalation!$B$3,0)</f>
        <v/>
      </c>
      <c r="T360">
        <f>IF(N360="Y",J360*K360*Escalation!$B$4,0)</f>
        <v/>
      </c>
      <c r="U360">
        <f>IF(O360="Y",J360*K360*Escalation!$B$5,0)</f>
        <v/>
      </c>
      <c r="V360">
        <f>IF(P360="Y",J360*K360*Escalation!$B$6,0)</f>
        <v/>
      </c>
      <c r="W360">
        <f>IF(Q360="Y",J360*K360*Escalation!$B$7,0)</f>
        <v/>
      </c>
      <c r="X360">
        <f>SUM(R360:W360)</f>
        <v/>
      </c>
    </row>
    <row r="361">
      <c r="J361">
        <f>IF(C361="FTE",B361*1880,B361)</f>
        <v/>
      </c>
      <c r="K361">
        <f>E361*(1+F361)*(1+G361)*(1+H361)*(1+I361)</f>
        <v/>
      </c>
      <c r="R361">
        <f>IF(L361="Y",J361*K361*Escalation!$B$2,0)</f>
        <v/>
      </c>
      <c r="S361">
        <f>IF(M361="Y",J361*K361*Escalation!$B$3,0)</f>
        <v/>
      </c>
      <c r="T361">
        <f>IF(N361="Y",J361*K361*Escalation!$B$4,0)</f>
        <v/>
      </c>
      <c r="U361">
        <f>IF(O361="Y",J361*K361*Escalation!$B$5,0)</f>
        <v/>
      </c>
      <c r="V361">
        <f>IF(P361="Y",J361*K361*Escalation!$B$6,0)</f>
        <v/>
      </c>
      <c r="W361">
        <f>IF(Q361="Y",J361*K361*Escalation!$B$7,0)</f>
        <v/>
      </c>
      <c r="X361">
        <f>SUM(R361:W361)</f>
        <v/>
      </c>
    </row>
    <row r="362">
      <c r="J362">
        <f>IF(C362="FTE",B362*1880,B362)</f>
        <v/>
      </c>
      <c r="K362">
        <f>E362*(1+F362)*(1+G362)*(1+H362)*(1+I362)</f>
        <v/>
      </c>
      <c r="R362">
        <f>IF(L362="Y",J362*K362*Escalation!$B$2,0)</f>
        <v/>
      </c>
      <c r="S362">
        <f>IF(M362="Y",J362*K362*Escalation!$B$3,0)</f>
        <v/>
      </c>
      <c r="T362">
        <f>IF(N362="Y",J362*K362*Escalation!$B$4,0)</f>
        <v/>
      </c>
      <c r="U362">
        <f>IF(O362="Y",J362*K362*Escalation!$B$5,0)</f>
        <v/>
      </c>
      <c r="V362">
        <f>IF(P362="Y",J362*K362*Escalation!$B$6,0)</f>
        <v/>
      </c>
      <c r="W362">
        <f>IF(Q362="Y",J362*K362*Escalation!$B$7,0)</f>
        <v/>
      </c>
      <c r="X362">
        <f>SUM(R362:W362)</f>
        <v/>
      </c>
    </row>
    <row r="363">
      <c r="J363">
        <f>IF(C363="FTE",B363*1880,B363)</f>
        <v/>
      </c>
      <c r="K363">
        <f>E363*(1+F363)*(1+G363)*(1+H363)*(1+I363)</f>
        <v/>
      </c>
      <c r="R363">
        <f>IF(L363="Y",J363*K363*Escalation!$B$2,0)</f>
        <v/>
      </c>
      <c r="S363">
        <f>IF(M363="Y",J363*K363*Escalation!$B$3,0)</f>
        <v/>
      </c>
      <c r="T363">
        <f>IF(N363="Y",J363*K363*Escalation!$B$4,0)</f>
        <v/>
      </c>
      <c r="U363">
        <f>IF(O363="Y",J363*K363*Escalation!$B$5,0)</f>
        <v/>
      </c>
      <c r="V363">
        <f>IF(P363="Y",J363*K363*Escalation!$B$6,0)</f>
        <v/>
      </c>
      <c r="W363">
        <f>IF(Q363="Y",J363*K363*Escalation!$B$7,0)</f>
        <v/>
      </c>
      <c r="X363">
        <f>SUM(R363:W363)</f>
        <v/>
      </c>
    </row>
    <row r="364">
      <c r="J364">
        <f>IF(C364="FTE",B364*1880,B364)</f>
        <v/>
      </c>
      <c r="K364">
        <f>E364*(1+F364)*(1+G364)*(1+H364)*(1+I364)</f>
        <v/>
      </c>
      <c r="R364">
        <f>IF(L364="Y",J364*K364*Escalation!$B$2,0)</f>
        <v/>
      </c>
      <c r="S364">
        <f>IF(M364="Y",J364*K364*Escalation!$B$3,0)</f>
        <v/>
      </c>
      <c r="T364">
        <f>IF(N364="Y",J364*K364*Escalation!$B$4,0)</f>
        <v/>
      </c>
      <c r="U364">
        <f>IF(O364="Y",J364*K364*Escalation!$B$5,0)</f>
        <v/>
      </c>
      <c r="V364">
        <f>IF(P364="Y",J364*K364*Escalation!$B$6,0)</f>
        <v/>
      </c>
      <c r="W364">
        <f>IF(Q364="Y",J364*K364*Escalation!$B$7,0)</f>
        <v/>
      </c>
      <c r="X364">
        <f>SUM(R364:W364)</f>
        <v/>
      </c>
    </row>
    <row r="365">
      <c r="J365">
        <f>IF(C365="FTE",B365*1880,B365)</f>
        <v/>
      </c>
      <c r="K365">
        <f>E365*(1+F365)*(1+G365)*(1+H365)*(1+I365)</f>
        <v/>
      </c>
      <c r="R365">
        <f>IF(L365="Y",J365*K365*Escalation!$B$2,0)</f>
        <v/>
      </c>
      <c r="S365">
        <f>IF(M365="Y",J365*K365*Escalation!$B$3,0)</f>
        <v/>
      </c>
      <c r="T365">
        <f>IF(N365="Y",J365*K365*Escalation!$B$4,0)</f>
        <v/>
      </c>
      <c r="U365">
        <f>IF(O365="Y",J365*K365*Escalation!$B$5,0)</f>
        <v/>
      </c>
      <c r="V365">
        <f>IF(P365="Y",J365*K365*Escalation!$B$6,0)</f>
        <v/>
      </c>
      <c r="W365">
        <f>IF(Q365="Y",J365*K365*Escalation!$B$7,0)</f>
        <v/>
      </c>
      <c r="X365">
        <f>SUM(R365:W365)</f>
        <v/>
      </c>
    </row>
    <row r="366">
      <c r="J366">
        <f>IF(C366="FTE",B366*1880,B366)</f>
        <v/>
      </c>
      <c r="K366">
        <f>E366*(1+F366)*(1+G366)*(1+H366)*(1+I366)</f>
        <v/>
      </c>
      <c r="R366">
        <f>IF(L366="Y",J366*K366*Escalation!$B$2,0)</f>
        <v/>
      </c>
      <c r="S366">
        <f>IF(M366="Y",J366*K366*Escalation!$B$3,0)</f>
        <v/>
      </c>
      <c r="T366">
        <f>IF(N366="Y",J366*K366*Escalation!$B$4,0)</f>
        <v/>
      </c>
      <c r="U366">
        <f>IF(O366="Y",J366*K366*Escalation!$B$5,0)</f>
        <v/>
      </c>
      <c r="V366">
        <f>IF(P366="Y",J366*K366*Escalation!$B$6,0)</f>
        <v/>
      </c>
      <c r="W366">
        <f>IF(Q366="Y",J366*K366*Escalation!$B$7,0)</f>
        <v/>
      </c>
      <c r="X366">
        <f>SUM(R366:W366)</f>
        <v/>
      </c>
    </row>
    <row r="367">
      <c r="J367">
        <f>IF(C367="FTE",B367*1880,B367)</f>
        <v/>
      </c>
      <c r="K367">
        <f>E367*(1+F367)*(1+G367)*(1+H367)*(1+I367)</f>
        <v/>
      </c>
      <c r="R367">
        <f>IF(L367="Y",J367*K367*Escalation!$B$2,0)</f>
        <v/>
      </c>
      <c r="S367">
        <f>IF(M367="Y",J367*K367*Escalation!$B$3,0)</f>
        <v/>
      </c>
      <c r="T367">
        <f>IF(N367="Y",J367*K367*Escalation!$B$4,0)</f>
        <v/>
      </c>
      <c r="U367">
        <f>IF(O367="Y",J367*K367*Escalation!$B$5,0)</f>
        <v/>
      </c>
      <c r="V367">
        <f>IF(P367="Y",J367*K367*Escalation!$B$6,0)</f>
        <v/>
      </c>
      <c r="W367">
        <f>IF(Q367="Y",J367*K367*Escalation!$B$7,0)</f>
        <v/>
      </c>
      <c r="X367">
        <f>SUM(R367:W367)</f>
        <v/>
      </c>
    </row>
    <row r="368">
      <c r="J368">
        <f>IF(C368="FTE",B368*1880,B368)</f>
        <v/>
      </c>
      <c r="K368">
        <f>E368*(1+F368)*(1+G368)*(1+H368)*(1+I368)</f>
        <v/>
      </c>
      <c r="R368">
        <f>IF(L368="Y",J368*K368*Escalation!$B$2,0)</f>
        <v/>
      </c>
      <c r="S368">
        <f>IF(M368="Y",J368*K368*Escalation!$B$3,0)</f>
        <v/>
      </c>
      <c r="T368">
        <f>IF(N368="Y",J368*K368*Escalation!$B$4,0)</f>
        <v/>
      </c>
      <c r="U368">
        <f>IF(O368="Y",J368*K368*Escalation!$B$5,0)</f>
        <v/>
      </c>
      <c r="V368">
        <f>IF(P368="Y",J368*K368*Escalation!$B$6,0)</f>
        <v/>
      </c>
      <c r="W368">
        <f>IF(Q368="Y",J368*K368*Escalation!$B$7,0)</f>
        <v/>
      </c>
      <c r="X368">
        <f>SUM(R368:W368)</f>
        <v/>
      </c>
    </row>
    <row r="369">
      <c r="J369">
        <f>IF(C369="FTE",B369*1880,B369)</f>
        <v/>
      </c>
      <c r="K369">
        <f>E369*(1+F369)*(1+G369)*(1+H369)*(1+I369)</f>
        <v/>
      </c>
      <c r="R369">
        <f>IF(L369="Y",J369*K369*Escalation!$B$2,0)</f>
        <v/>
      </c>
      <c r="S369">
        <f>IF(M369="Y",J369*K369*Escalation!$B$3,0)</f>
        <v/>
      </c>
      <c r="T369">
        <f>IF(N369="Y",J369*K369*Escalation!$B$4,0)</f>
        <v/>
      </c>
      <c r="U369">
        <f>IF(O369="Y",J369*K369*Escalation!$B$5,0)</f>
        <v/>
      </c>
      <c r="V369">
        <f>IF(P369="Y",J369*K369*Escalation!$B$6,0)</f>
        <v/>
      </c>
      <c r="W369">
        <f>IF(Q369="Y",J369*K369*Escalation!$B$7,0)</f>
        <v/>
      </c>
      <c r="X369">
        <f>SUM(R369:W369)</f>
        <v/>
      </c>
    </row>
    <row r="370">
      <c r="J370">
        <f>IF(C370="FTE",B370*1880,B370)</f>
        <v/>
      </c>
      <c r="K370">
        <f>E370*(1+F370)*(1+G370)*(1+H370)*(1+I370)</f>
        <v/>
      </c>
      <c r="R370">
        <f>IF(L370="Y",J370*K370*Escalation!$B$2,0)</f>
        <v/>
      </c>
      <c r="S370">
        <f>IF(M370="Y",J370*K370*Escalation!$B$3,0)</f>
        <v/>
      </c>
      <c r="T370">
        <f>IF(N370="Y",J370*K370*Escalation!$B$4,0)</f>
        <v/>
      </c>
      <c r="U370">
        <f>IF(O370="Y",J370*K370*Escalation!$B$5,0)</f>
        <v/>
      </c>
      <c r="V370">
        <f>IF(P370="Y",J370*K370*Escalation!$B$6,0)</f>
        <v/>
      </c>
      <c r="W370">
        <f>IF(Q370="Y",J370*K370*Escalation!$B$7,0)</f>
        <v/>
      </c>
      <c r="X370">
        <f>SUM(R370:W370)</f>
        <v/>
      </c>
    </row>
    <row r="371">
      <c r="J371">
        <f>IF(C371="FTE",B371*1880,B371)</f>
        <v/>
      </c>
      <c r="K371">
        <f>E371*(1+F371)*(1+G371)*(1+H371)*(1+I371)</f>
        <v/>
      </c>
      <c r="R371">
        <f>IF(L371="Y",J371*K371*Escalation!$B$2,0)</f>
        <v/>
      </c>
      <c r="S371">
        <f>IF(M371="Y",J371*K371*Escalation!$B$3,0)</f>
        <v/>
      </c>
      <c r="T371">
        <f>IF(N371="Y",J371*K371*Escalation!$B$4,0)</f>
        <v/>
      </c>
      <c r="U371">
        <f>IF(O371="Y",J371*K371*Escalation!$B$5,0)</f>
        <v/>
      </c>
      <c r="V371">
        <f>IF(P371="Y",J371*K371*Escalation!$B$6,0)</f>
        <v/>
      </c>
      <c r="W371">
        <f>IF(Q371="Y",J371*K371*Escalation!$B$7,0)</f>
        <v/>
      </c>
      <c r="X371">
        <f>SUM(R371:W371)</f>
        <v/>
      </c>
    </row>
    <row r="372">
      <c r="J372">
        <f>IF(C372="FTE",B372*1880,B372)</f>
        <v/>
      </c>
      <c r="K372">
        <f>E372*(1+F372)*(1+G372)*(1+H372)*(1+I372)</f>
        <v/>
      </c>
      <c r="R372">
        <f>IF(L372="Y",J372*K372*Escalation!$B$2,0)</f>
        <v/>
      </c>
      <c r="S372">
        <f>IF(M372="Y",J372*K372*Escalation!$B$3,0)</f>
        <v/>
      </c>
      <c r="T372">
        <f>IF(N372="Y",J372*K372*Escalation!$B$4,0)</f>
        <v/>
      </c>
      <c r="U372">
        <f>IF(O372="Y",J372*K372*Escalation!$B$5,0)</f>
        <v/>
      </c>
      <c r="V372">
        <f>IF(P372="Y",J372*K372*Escalation!$B$6,0)</f>
        <v/>
      </c>
      <c r="W372">
        <f>IF(Q372="Y",J372*K372*Escalation!$B$7,0)</f>
        <v/>
      </c>
      <c r="X372">
        <f>SUM(R372:W372)</f>
        <v/>
      </c>
    </row>
    <row r="373">
      <c r="J373">
        <f>IF(C373="FTE",B373*1880,B373)</f>
        <v/>
      </c>
      <c r="K373">
        <f>E373*(1+F373)*(1+G373)*(1+H373)*(1+I373)</f>
        <v/>
      </c>
      <c r="R373">
        <f>IF(L373="Y",J373*K373*Escalation!$B$2,0)</f>
        <v/>
      </c>
      <c r="S373">
        <f>IF(M373="Y",J373*K373*Escalation!$B$3,0)</f>
        <v/>
      </c>
      <c r="T373">
        <f>IF(N373="Y",J373*K373*Escalation!$B$4,0)</f>
        <v/>
      </c>
      <c r="U373">
        <f>IF(O373="Y",J373*K373*Escalation!$B$5,0)</f>
        <v/>
      </c>
      <c r="V373">
        <f>IF(P373="Y",J373*K373*Escalation!$B$6,0)</f>
        <v/>
      </c>
      <c r="W373">
        <f>IF(Q373="Y",J373*K373*Escalation!$B$7,0)</f>
        <v/>
      </c>
      <c r="X373">
        <f>SUM(R373:W373)</f>
        <v/>
      </c>
    </row>
    <row r="374">
      <c r="J374">
        <f>IF(C374="FTE",B374*1880,B374)</f>
        <v/>
      </c>
      <c r="K374">
        <f>E374*(1+F374)*(1+G374)*(1+H374)*(1+I374)</f>
        <v/>
      </c>
      <c r="R374">
        <f>IF(L374="Y",J374*K374*Escalation!$B$2,0)</f>
        <v/>
      </c>
      <c r="S374">
        <f>IF(M374="Y",J374*K374*Escalation!$B$3,0)</f>
        <v/>
      </c>
      <c r="T374">
        <f>IF(N374="Y",J374*K374*Escalation!$B$4,0)</f>
        <v/>
      </c>
      <c r="U374">
        <f>IF(O374="Y",J374*K374*Escalation!$B$5,0)</f>
        <v/>
      </c>
      <c r="V374">
        <f>IF(P374="Y",J374*K374*Escalation!$B$6,0)</f>
        <v/>
      </c>
      <c r="W374">
        <f>IF(Q374="Y",J374*K374*Escalation!$B$7,0)</f>
        <v/>
      </c>
      <c r="X374">
        <f>SUM(R374:W374)</f>
        <v/>
      </c>
    </row>
    <row r="375">
      <c r="J375">
        <f>IF(C375="FTE",B375*1880,B375)</f>
        <v/>
      </c>
      <c r="K375">
        <f>E375*(1+F375)*(1+G375)*(1+H375)*(1+I375)</f>
        <v/>
      </c>
      <c r="R375">
        <f>IF(L375="Y",J375*K375*Escalation!$B$2,0)</f>
        <v/>
      </c>
      <c r="S375">
        <f>IF(M375="Y",J375*K375*Escalation!$B$3,0)</f>
        <v/>
      </c>
      <c r="T375">
        <f>IF(N375="Y",J375*K375*Escalation!$B$4,0)</f>
        <v/>
      </c>
      <c r="U375">
        <f>IF(O375="Y",J375*K375*Escalation!$B$5,0)</f>
        <v/>
      </c>
      <c r="V375">
        <f>IF(P375="Y",J375*K375*Escalation!$B$6,0)</f>
        <v/>
      </c>
      <c r="W375">
        <f>IF(Q375="Y",J375*K375*Escalation!$B$7,0)</f>
        <v/>
      </c>
      <c r="X375">
        <f>SUM(R375:W375)</f>
        <v/>
      </c>
    </row>
    <row r="376">
      <c r="J376">
        <f>IF(C376="FTE",B376*1880,B376)</f>
        <v/>
      </c>
      <c r="K376">
        <f>E376*(1+F376)*(1+G376)*(1+H376)*(1+I376)</f>
        <v/>
      </c>
      <c r="R376">
        <f>IF(L376="Y",J376*K376*Escalation!$B$2,0)</f>
        <v/>
      </c>
      <c r="S376">
        <f>IF(M376="Y",J376*K376*Escalation!$B$3,0)</f>
        <v/>
      </c>
      <c r="T376">
        <f>IF(N376="Y",J376*K376*Escalation!$B$4,0)</f>
        <v/>
      </c>
      <c r="U376">
        <f>IF(O376="Y",J376*K376*Escalation!$B$5,0)</f>
        <v/>
      </c>
      <c r="V376">
        <f>IF(P376="Y",J376*K376*Escalation!$B$6,0)</f>
        <v/>
      </c>
      <c r="W376">
        <f>IF(Q376="Y",J376*K376*Escalation!$B$7,0)</f>
        <v/>
      </c>
      <c r="X376">
        <f>SUM(R376:W376)</f>
        <v/>
      </c>
    </row>
    <row r="377">
      <c r="J377">
        <f>IF(C377="FTE",B377*1880,B377)</f>
        <v/>
      </c>
      <c r="K377">
        <f>E377*(1+F377)*(1+G377)*(1+H377)*(1+I377)</f>
        <v/>
      </c>
      <c r="R377">
        <f>IF(L377="Y",J377*K377*Escalation!$B$2,0)</f>
        <v/>
      </c>
      <c r="S377">
        <f>IF(M377="Y",J377*K377*Escalation!$B$3,0)</f>
        <v/>
      </c>
      <c r="T377">
        <f>IF(N377="Y",J377*K377*Escalation!$B$4,0)</f>
        <v/>
      </c>
      <c r="U377">
        <f>IF(O377="Y",J377*K377*Escalation!$B$5,0)</f>
        <v/>
      </c>
      <c r="V377">
        <f>IF(P377="Y",J377*K377*Escalation!$B$6,0)</f>
        <v/>
      </c>
      <c r="W377">
        <f>IF(Q377="Y",J377*K377*Escalation!$B$7,0)</f>
        <v/>
      </c>
      <c r="X377">
        <f>SUM(R377:W377)</f>
        <v/>
      </c>
    </row>
    <row r="378">
      <c r="J378">
        <f>IF(C378="FTE",B378*1880,B378)</f>
        <v/>
      </c>
      <c r="K378">
        <f>E378*(1+F378)*(1+G378)*(1+H378)*(1+I378)</f>
        <v/>
      </c>
      <c r="R378">
        <f>IF(L378="Y",J378*K378*Escalation!$B$2,0)</f>
        <v/>
      </c>
      <c r="S378">
        <f>IF(M378="Y",J378*K378*Escalation!$B$3,0)</f>
        <v/>
      </c>
      <c r="T378">
        <f>IF(N378="Y",J378*K378*Escalation!$B$4,0)</f>
        <v/>
      </c>
      <c r="U378">
        <f>IF(O378="Y",J378*K378*Escalation!$B$5,0)</f>
        <v/>
      </c>
      <c r="V378">
        <f>IF(P378="Y",J378*K378*Escalation!$B$6,0)</f>
        <v/>
      </c>
      <c r="W378">
        <f>IF(Q378="Y",J378*K378*Escalation!$B$7,0)</f>
        <v/>
      </c>
      <c r="X378">
        <f>SUM(R378:W378)</f>
        <v/>
      </c>
    </row>
    <row r="379">
      <c r="J379">
        <f>IF(C379="FTE",B379*1880,B379)</f>
        <v/>
      </c>
      <c r="K379">
        <f>E379*(1+F379)*(1+G379)*(1+H379)*(1+I379)</f>
        <v/>
      </c>
      <c r="R379">
        <f>IF(L379="Y",J379*K379*Escalation!$B$2,0)</f>
        <v/>
      </c>
      <c r="S379">
        <f>IF(M379="Y",J379*K379*Escalation!$B$3,0)</f>
        <v/>
      </c>
      <c r="T379">
        <f>IF(N379="Y",J379*K379*Escalation!$B$4,0)</f>
        <v/>
      </c>
      <c r="U379">
        <f>IF(O379="Y",J379*K379*Escalation!$B$5,0)</f>
        <v/>
      </c>
      <c r="V379">
        <f>IF(P379="Y",J379*K379*Escalation!$B$6,0)</f>
        <v/>
      </c>
      <c r="W379">
        <f>IF(Q379="Y",J379*K379*Escalation!$B$7,0)</f>
        <v/>
      </c>
      <c r="X379">
        <f>SUM(R379:W379)</f>
        <v/>
      </c>
    </row>
    <row r="380">
      <c r="J380">
        <f>IF(C380="FTE",B380*1880,B380)</f>
        <v/>
      </c>
      <c r="K380">
        <f>E380*(1+F380)*(1+G380)*(1+H380)*(1+I380)</f>
        <v/>
      </c>
      <c r="R380">
        <f>IF(L380="Y",J380*K380*Escalation!$B$2,0)</f>
        <v/>
      </c>
      <c r="S380">
        <f>IF(M380="Y",J380*K380*Escalation!$B$3,0)</f>
        <v/>
      </c>
      <c r="T380">
        <f>IF(N380="Y",J380*K380*Escalation!$B$4,0)</f>
        <v/>
      </c>
      <c r="U380">
        <f>IF(O380="Y",J380*K380*Escalation!$B$5,0)</f>
        <v/>
      </c>
      <c r="V380">
        <f>IF(P380="Y",J380*K380*Escalation!$B$6,0)</f>
        <v/>
      </c>
      <c r="W380">
        <f>IF(Q380="Y",J380*K380*Escalation!$B$7,0)</f>
        <v/>
      </c>
      <c r="X380">
        <f>SUM(R380:W380)</f>
        <v/>
      </c>
    </row>
    <row r="381">
      <c r="J381">
        <f>IF(C381="FTE",B381*1880,B381)</f>
        <v/>
      </c>
      <c r="K381">
        <f>E381*(1+F381)*(1+G381)*(1+H381)*(1+I381)</f>
        <v/>
      </c>
      <c r="R381">
        <f>IF(L381="Y",J381*K381*Escalation!$B$2,0)</f>
        <v/>
      </c>
      <c r="S381">
        <f>IF(M381="Y",J381*K381*Escalation!$B$3,0)</f>
        <v/>
      </c>
      <c r="T381">
        <f>IF(N381="Y",J381*K381*Escalation!$B$4,0)</f>
        <v/>
      </c>
      <c r="U381">
        <f>IF(O381="Y",J381*K381*Escalation!$B$5,0)</f>
        <v/>
      </c>
      <c r="V381">
        <f>IF(P381="Y",J381*K381*Escalation!$B$6,0)</f>
        <v/>
      </c>
      <c r="W381">
        <f>IF(Q381="Y",J381*K381*Escalation!$B$7,0)</f>
        <v/>
      </c>
      <c r="X381">
        <f>SUM(R381:W381)</f>
        <v/>
      </c>
    </row>
    <row r="382">
      <c r="J382">
        <f>IF(C382="FTE",B382*1880,B382)</f>
        <v/>
      </c>
      <c r="K382">
        <f>E382*(1+F382)*(1+G382)*(1+H382)*(1+I382)</f>
        <v/>
      </c>
      <c r="R382">
        <f>IF(L382="Y",J382*K382*Escalation!$B$2,0)</f>
        <v/>
      </c>
      <c r="S382">
        <f>IF(M382="Y",J382*K382*Escalation!$B$3,0)</f>
        <v/>
      </c>
      <c r="T382">
        <f>IF(N382="Y",J382*K382*Escalation!$B$4,0)</f>
        <v/>
      </c>
      <c r="U382">
        <f>IF(O382="Y",J382*K382*Escalation!$B$5,0)</f>
        <v/>
      </c>
      <c r="V382">
        <f>IF(P382="Y",J382*K382*Escalation!$B$6,0)</f>
        <v/>
      </c>
      <c r="W382">
        <f>IF(Q382="Y",J382*K382*Escalation!$B$7,0)</f>
        <v/>
      </c>
      <c r="X382">
        <f>SUM(R382:W382)</f>
        <v/>
      </c>
    </row>
    <row r="383">
      <c r="J383">
        <f>IF(C383="FTE",B383*1880,B383)</f>
        <v/>
      </c>
      <c r="K383">
        <f>E383*(1+F383)*(1+G383)*(1+H383)*(1+I383)</f>
        <v/>
      </c>
      <c r="R383">
        <f>IF(L383="Y",J383*K383*Escalation!$B$2,0)</f>
        <v/>
      </c>
      <c r="S383">
        <f>IF(M383="Y",J383*K383*Escalation!$B$3,0)</f>
        <v/>
      </c>
      <c r="T383">
        <f>IF(N383="Y",J383*K383*Escalation!$B$4,0)</f>
        <v/>
      </c>
      <c r="U383">
        <f>IF(O383="Y",J383*K383*Escalation!$B$5,0)</f>
        <v/>
      </c>
      <c r="V383">
        <f>IF(P383="Y",J383*K383*Escalation!$B$6,0)</f>
        <v/>
      </c>
      <c r="W383">
        <f>IF(Q383="Y",J383*K383*Escalation!$B$7,0)</f>
        <v/>
      </c>
      <c r="X383">
        <f>SUM(R383:W383)</f>
        <v/>
      </c>
    </row>
    <row r="384">
      <c r="J384">
        <f>IF(C384="FTE",B384*1880,B384)</f>
        <v/>
      </c>
      <c r="K384">
        <f>E384*(1+F384)*(1+G384)*(1+H384)*(1+I384)</f>
        <v/>
      </c>
      <c r="R384">
        <f>IF(L384="Y",J384*K384*Escalation!$B$2,0)</f>
        <v/>
      </c>
      <c r="S384">
        <f>IF(M384="Y",J384*K384*Escalation!$B$3,0)</f>
        <v/>
      </c>
      <c r="T384">
        <f>IF(N384="Y",J384*K384*Escalation!$B$4,0)</f>
        <v/>
      </c>
      <c r="U384">
        <f>IF(O384="Y",J384*K384*Escalation!$B$5,0)</f>
        <v/>
      </c>
      <c r="V384">
        <f>IF(P384="Y",J384*K384*Escalation!$B$6,0)</f>
        <v/>
      </c>
      <c r="W384">
        <f>IF(Q384="Y",J384*K384*Escalation!$B$7,0)</f>
        <v/>
      </c>
      <c r="X384">
        <f>SUM(R384:W384)</f>
        <v/>
      </c>
    </row>
    <row r="385">
      <c r="J385">
        <f>IF(C385="FTE",B385*1880,B385)</f>
        <v/>
      </c>
      <c r="K385">
        <f>E385*(1+F385)*(1+G385)*(1+H385)*(1+I385)</f>
        <v/>
      </c>
      <c r="R385">
        <f>IF(L385="Y",J385*K385*Escalation!$B$2,0)</f>
        <v/>
      </c>
      <c r="S385">
        <f>IF(M385="Y",J385*K385*Escalation!$B$3,0)</f>
        <v/>
      </c>
      <c r="T385">
        <f>IF(N385="Y",J385*K385*Escalation!$B$4,0)</f>
        <v/>
      </c>
      <c r="U385">
        <f>IF(O385="Y",J385*K385*Escalation!$B$5,0)</f>
        <v/>
      </c>
      <c r="V385">
        <f>IF(P385="Y",J385*K385*Escalation!$B$6,0)</f>
        <v/>
      </c>
      <c r="W385">
        <f>IF(Q385="Y",J385*K385*Escalation!$B$7,0)</f>
        <v/>
      </c>
      <c r="X385">
        <f>SUM(R385:W385)</f>
        <v/>
      </c>
    </row>
    <row r="386">
      <c r="J386">
        <f>IF(C386="FTE",B386*1880,B386)</f>
        <v/>
      </c>
      <c r="K386">
        <f>E386*(1+F386)*(1+G386)*(1+H386)*(1+I386)</f>
        <v/>
      </c>
      <c r="R386">
        <f>IF(L386="Y",J386*K386*Escalation!$B$2,0)</f>
        <v/>
      </c>
      <c r="S386">
        <f>IF(M386="Y",J386*K386*Escalation!$B$3,0)</f>
        <v/>
      </c>
      <c r="T386">
        <f>IF(N386="Y",J386*K386*Escalation!$B$4,0)</f>
        <v/>
      </c>
      <c r="U386">
        <f>IF(O386="Y",J386*K386*Escalation!$B$5,0)</f>
        <v/>
      </c>
      <c r="V386">
        <f>IF(P386="Y",J386*K386*Escalation!$B$6,0)</f>
        <v/>
      </c>
      <c r="W386">
        <f>IF(Q386="Y",J386*K386*Escalation!$B$7,0)</f>
        <v/>
      </c>
      <c r="X386">
        <f>SUM(R386:W386)</f>
        <v/>
      </c>
    </row>
    <row r="387">
      <c r="J387">
        <f>IF(C387="FTE",B387*1880,B387)</f>
        <v/>
      </c>
      <c r="K387">
        <f>E387*(1+F387)*(1+G387)*(1+H387)*(1+I387)</f>
        <v/>
      </c>
      <c r="R387">
        <f>IF(L387="Y",J387*K387*Escalation!$B$2,0)</f>
        <v/>
      </c>
      <c r="S387">
        <f>IF(M387="Y",J387*K387*Escalation!$B$3,0)</f>
        <v/>
      </c>
      <c r="T387">
        <f>IF(N387="Y",J387*K387*Escalation!$B$4,0)</f>
        <v/>
      </c>
      <c r="U387">
        <f>IF(O387="Y",J387*K387*Escalation!$B$5,0)</f>
        <v/>
      </c>
      <c r="V387">
        <f>IF(P387="Y",J387*K387*Escalation!$B$6,0)</f>
        <v/>
      </c>
      <c r="W387">
        <f>IF(Q387="Y",J387*K387*Escalation!$B$7,0)</f>
        <v/>
      </c>
      <c r="X387">
        <f>SUM(R387:W387)</f>
        <v/>
      </c>
    </row>
    <row r="388">
      <c r="J388">
        <f>IF(C388="FTE",B388*1880,B388)</f>
        <v/>
      </c>
      <c r="K388">
        <f>E388*(1+F388)*(1+G388)*(1+H388)*(1+I388)</f>
        <v/>
      </c>
      <c r="R388">
        <f>IF(L388="Y",J388*K388*Escalation!$B$2,0)</f>
        <v/>
      </c>
      <c r="S388">
        <f>IF(M388="Y",J388*K388*Escalation!$B$3,0)</f>
        <v/>
      </c>
      <c r="T388">
        <f>IF(N388="Y",J388*K388*Escalation!$B$4,0)</f>
        <v/>
      </c>
      <c r="U388">
        <f>IF(O388="Y",J388*K388*Escalation!$B$5,0)</f>
        <v/>
      </c>
      <c r="V388">
        <f>IF(P388="Y",J388*K388*Escalation!$B$6,0)</f>
        <v/>
      </c>
      <c r="W388">
        <f>IF(Q388="Y",J388*K388*Escalation!$B$7,0)</f>
        <v/>
      </c>
      <c r="X388">
        <f>SUM(R388:W388)</f>
        <v/>
      </c>
    </row>
    <row r="389">
      <c r="J389">
        <f>IF(C389="FTE",B389*1880,B389)</f>
        <v/>
      </c>
      <c r="K389">
        <f>E389*(1+F389)*(1+G389)*(1+H389)*(1+I389)</f>
        <v/>
      </c>
      <c r="R389">
        <f>IF(L389="Y",J389*K389*Escalation!$B$2,0)</f>
        <v/>
      </c>
      <c r="S389">
        <f>IF(M389="Y",J389*K389*Escalation!$B$3,0)</f>
        <v/>
      </c>
      <c r="T389">
        <f>IF(N389="Y",J389*K389*Escalation!$B$4,0)</f>
        <v/>
      </c>
      <c r="U389">
        <f>IF(O389="Y",J389*K389*Escalation!$B$5,0)</f>
        <v/>
      </c>
      <c r="V389">
        <f>IF(P389="Y",J389*K389*Escalation!$B$6,0)</f>
        <v/>
      </c>
      <c r="W389">
        <f>IF(Q389="Y",J389*K389*Escalation!$B$7,0)</f>
        <v/>
      </c>
      <c r="X389">
        <f>SUM(R389:W389)</f>
        <v/>
      </c>
    </row>
    <row r="390">
      <c r="J390">
        <f>IF(C390="FTE",B390*1880,B390)</f>
        <v/>
      </c>
      <c r="K390">
        <f>E390*(1+F390)*(1+G390)*(1+H390)*(1+I390)</f>
        <v/>
      </c>
      <c r="R390">
        <f>IF(L390="Y",J390*K390*Escalation!$B$2,0)</f>
        <v/>
      </c>
      <c r="S390">
        <f>IF(M390="Y",J390*K390*Escalation!$B$3,0)</f>
        <v/>
      </c>
      <c r="T390">
        <f>IF(N390="Y",J390*K390*Escalation!$B$4,0)</f>
        <v/>
      </c>
      <c r="U390">
        <f>IF(O390="Y",J390*K390*Escalation!$B$5,0)</f>
        <v/>
      </c>
      <c r="V390">
        <f>IF(P390="Y",J390*K390*Escalation!$B$6,0)</f>
        <v/>
      </c>
      <c r="W390">
        <f>IF(Q390="Y",J390*K390*Escalation!$B$7,0)</f>
        <v/>
      </c>
      <c r="X390">
        <f>SUM(R390:W390)</f>
        <v/>
      </c>
    </row>
    <row r="391">
      <c r="J391">
        <f>IF(C391="FTE",B391*1880,B391)</f>
        <v/>
      </c>
      <c r="K391">
        <f>E391*(1+F391)*(1+G391)*(1+H391)*(1+I391)</f>
        <v/>
      </c>
      <c r="R391">
        <f>IF(L391="Y",J391*K391*Escalation!$B$2,0)</f>
        <v/>
      </c>
      <c r="S391">
        <f>IF(M391="Y",J391*K391*Escalation!$B$3,0)</f>
        <v/>
      </c>
      <c r="T391">
        <f>IF(N391="Y",J391*K391*Escalation!$B$4,0)</f>
        <v/>
      </c>
      <c r="U391">
        <f>IF(O391="Y",J391*K391*Escalation!$B$5,0)</f>
        <v/>
      </c>
      <c r="V391">
        <f>IF(P391="Y",J391*K391*Escalation!$B$6,0)</f>
        <v/>
      </c>
      <c r="W391">
        <f>IF(Q391="Y",J391*K391*Escalation!$B$7,0)</f>
        <v/>
      </c>
      <c r="X391">
        <f>SUM(R391:W391)</f>
        <v/>
      </c>
    </row>
    <row r="392">
      <c r="J392">
        <f>IF(C392="FTE",B392*1880,B392)</f>
        <v/>
      </c>
      <c r="K392">
        <f>E392*(1+F392)*(1+G392)*(1+H392)*(1+I392)</f>
        <v/>
      </c>
      <c r="R392">
        <f>IF(L392="Y",J392*K392*Escalation!$B$2,0)</f>
        <v/>
      </c>
      <c r="S392">
        <f>IF(M392="Y",J392*K392*Escalation!$B$3,0)</f>
        <v/>
      </c>
      <c r="T392">
        <f>IF(N392="Y",J392*K392*Escalation!$B$4,0)</f>
        <v/>
      </c>
      <c r="U392">
        <f>IF(O392="Y",J392*K392*Escalation!$B$5,0)</f>
        <v/>
      </c>
      <c r="V392">
        <f>IF(P392="Y",J392*K392*Escalation!$B$6,0)</f>
        <v/>
      </c>
      <c r="W392">
        <f>IF(Q392="Y",J392*K392*Escalation!$B$7,0)</f>
        <v/>
      </c>
      <c r="X392">
        <f>SUM(R392:W392)</f>
        <v/>
      </c>
    </row>
    <row r="393">
      <c r="J393">
        <f>IF(C393="FTE",B393*1880,B393)</f>
        <v/>
      </c>
      <c r="K393">
        <f>E393*(1+F393)*(1+G393)*(1+H393)*(1+I393)</f>
        <v/>
      </c>
      <c r="R393">
        <f>IF(L393="Y",J393*K393*Escalation!$B$2,0)</f>
        <v/>
      </c>
      <c r="S393">
        <f>IF(M393="Y",J393*K393*Escalation!$B$3,0)</f>
        <v/>
      </c>
      <c r="T393">
        <f>IF(N393="Y",J393*K393*Escalation!$B$4,0)</f>
        <v/>
      </c>
      <c r="U393">
        <f>IF(O393="Y",J393*K393*Escalation!$B$5,0)</f>
        <v/>
      </c>
      <c r="V393">
        <f>IF(P393="Y",J393*K393*Escalation!$B$6,0)</f>
        <v/>
      </c>
      <c r="W393">
        <f>IF(Q393="Y",J393*K393*Escalation!$B$7,0)</f>
        <v/>
      </c>
      <c r="X393">
        <f>SUM(R393:W393)</f>
        <v/>
      </c>
    </row>
    <row r="394">
      <c r="J394">
        <f>IF(C394="FTE",B394*1880,B394)</f>
        <v/>
      </c>
      <c r="K394">
        <f>E394*(1+F394)*(1+G394)*(1+H394)*(1+I394)</f>
        <v/>
      </c>
      <c r="R394">
        <f>IF(L394="Y",J394*K394*Escalation!$B$2,0)</f>
        <v/>
      </c>
      <c r="S394">
        <f>IF(M394="Y",J394*K394*Escalation!$B$3,0)</f>
        <v/>
      </c>
      <c r="T394">
        <f>IF(N394="Y",J394*K394*Escalation!$B$4,0)</f>
        <v/>
      </c>
      <c r="U394">
        <f>IF(O394="Y",J394*K394*Escalation!$B$5,0)</f>
        <v/>
      </c>
      <c r="V394">
        <f>IF(P394="Y",J394*K394*Escalation!$B$6,0)</f>
        <v/>
      </c>
      <c r="W394">
        <f>IF(Q394="Y",J394*K394*Escalation!$B$7,0)</f>
        <v/>
      </c>
      <c r="X394">
        <f>SUM(R394:W394)</f>
        <v/>
      </c>
    </row>
    <row r="395">
      <c r="J395">
        <f>IF(C395="FTE",B395*1880,B395)</f>
        <v/>
      </c>
      <c r="K395">
        <f>E395*(1+F395)*(1+G395)*(1+H395)*(1+I395)</f>
        <v/>
      </c>
      <c r="R395">
        <f>IF(L395="Y",J395*K395*Escalation!$B$2,0)</f>
        <v/>
      </c>
      <c r="S395">
        <f>IF(M395="Y",J395*K395*Escalation!$B$3,0)</f>
        <v/>
      </c>
      <c r="T395">
        <f>IF(N395="Y",J395*K395*Escalation!$B$4,0)</f>
        <v/>
      </c>
      <c r="U395">
        <f>IF(O395="Y",J395*K395*Escalation!$B$5,0)</f>
        <v/>
      </c>
      <c r="V395">
        <f>IF(P395="Y",J395*K395*Escalation!$B$6,0)</f>
        <v/>
      </c>
      <c r="W395">
        <f>IF(Q395="Y",J395*K395*Escalation!$B$7,0)</f>
        <v/>
      </c>
      <c r="X395">
        <f>SUM(R395:W395)</f>
        <v/>
      </c>
    </row>
    <row r="396">
      <c r="J396">
        <f>IF(C396="FTE",B396*1880,B396)</f>
        <v/>
      </c>
      <c r="K396">
        <f>E396*(1+F396)*(1+G396)*(1+H396)*(1+I396)</f>
        <v/>
      </c>
      <c r="R396">
        <f>IF(L396="Y",J396*K396*Escalation!$B$2,0)</f>
        <v/>
      </c>
      <c r="S396">
        <f>IF(M396="Y",J396*K396*Escalation!$B$3,0)</f>
        <v/>
      </c>
      <c r="T396">
        <f>IF(N396="Y",J396*K396*Escalation!$B$4,0)</f>
        <v/>
      </c>
      <c r="U396">
        <f>IF(O396="Y",J396*K396*Escalation!$B$5,0)</f>
        <v/>
      </c>
      <c r="V396">
        <f>IF(P396="Y",J396*K396*Escalation!$B$6,0)</f>
        <v/>
      </c>
      <c r="W396">
        <f>IF(Q396="Y",J396*K396*Escalation!$B$7,0)</f>
        <v/>
      </c>
      <c r="X396">
        <f>SUM(R396:W396)</f>
        <v/>
      </c>
    </row>
    <row r="397">
      <c r="J397">
        <f>IF(C397="FTE",B397*1880,B397)</f>
        <v/>
      </c>
      <c r="K397">
        <f>E397*(1+F397)*(1+G397)*(1+H397)*(1+I397)</f>
        <v/>
      </c>
      <c r="R397">
        <f>IF(L397="Y",J397*K397*Escalation!$B$2,0)</f>
        <v/>
      </c>
      <c r="S397">
        <f>IF(M397="Y",J397*K397*Escalation!$B$3,0)</f>
        <v/>
      </c>
      <c r="T397">
        <f>IF(N397="Y",J397*K397*Escalation!$B$4,0)</f>
        <v/>
      </c>
      <c r="U397">
        <f>IF(O397="Y",J397*K397*Escalation!$B$5,0)</f>
        <v/>
      </c>
      <c r="V397">
        <f>IF(P397="Y",J397*K397*Escalation!$B$6,0)</f>
        <v/>
      </c>
      <c r="W397">
        <f>IF(Q397="Y",J397*K397*Escalation!$B$7,0)</f>
        <v/>
      </c>
      <c r="X397">
        <f>SUM(R397:W397)</f>
        <v/>
      </c>
    </row>
    <row r="398">
      <c r="J398">
        <f>IF(C398="FTE",B398*1880,B398)</f>
        <v/>
      </c>
      <c r="K398">
        <f>E398*(1+F398)*(1+G398)*(1+H398)*(1+I398)</f>
        <v/>
      </c>
      <c r="R398">
        <f>IF(L398="Y",J398*K398*Escalation!$B$2,0)</f>
        <v/>
      </c>
      <c r="S398">
        <f>IF(M398="Y",J398*K398*Escalation!$B$3,0)</f>
        <v/>
      </c>
      <c r="T398">
        <f>IF(N398="Y",J398*K398*Escalation!$B$4,0)</f>
        <v/>
      </c>
      <c r="U398">
        <f>IF(O398="Y",J398*K398*Escalation!$B$5,0)</f>
        <v/>
      </c>
      <c r="V398">
        <f>IF(P398="Y",J398*K398*Escalation!$B$6,0)</f>
        <v/>
      </c>
      <c r="W398">
        <f>IF(Q398="Y",J398*K398*Escalation!$B$7,0)</f>
        <v/>
      </c>
      <c r="X398">
        <f>SUM(R398:W398)</f>
        <v/>
      </c>
    </row>
    <row r="399">
      <c r="J399">
        <f>IF(C399="FTE",B399*1880,B399)</f>
        <v/>
      </c>
      <c r="K399">
        <f>E399*(1+F399)*(1+G399)*(1+H399)*(1+I399)</f>
        <v/>
      </c>
      <c r="R399">
        <f>IF(L399="Y",J399*K399*Escalation!$B$2,0)</f>
        <v/>
      </c>
      <c r="S399">
        <f>IF(M399="Y",J399*K399*Escalation!$B$3,0)</f>
        <v/>
      </c>
      <c r="T399">
        <f>IF(N399="Y",J399*K399*Escalation!$B$4,0)</f>
        <v/>
      </c>
      <c r="U399">
        <f>IF(O399="Y",J399*K399*Escalation!$B$5,0)</f>
        <v/>
      </c>
      <c r="V399">
        <f>IF(P399="Y",J399*K399*Escalation!$B$6,0)</f>
        <v/>
      </c>
      <c r="W399">
        <f>IF(Q399="Y",J399*K399*Escalation!$B$7,0)</f>
        <v/>
      </c>
      <c r="X399">
        <f>SUM(R399:W399)</f>
        <v/>
      </c>
    </row>
    <row r="400">
      <c r="J400">
        <f>IF(C400="FTE",B400*1880,B400)</f>
        <v/>
      </c>
      <c r="K400">
        <f>E400*(1+F400)*(1+G400)*(1+H400)*(1+I400)</f>
        <v/>
      </c>
      <c r="R400">
        <f>IF(L400="Y",J400*K400*Escalation!$B$2,0)</f>
        <v/>
      </c>
      <c r="S400">
        <f>IF(M400="Y",J400*K400*Escalation!$B$3,0)</f>
        <v/>
      </c>
      <c r="T400">
        <f>IF(N400="Y",J400*K400*Escalation!$B$4,0)</f>
        <v/>
      </c>
      <c r="U400">
        <f>IF(O400="Y",J400*K400*Escalation!$B$5,0)</f>
        <v/>
      </c>
      <c r="V400">
        <f>IF(P400="Y",J400*K400*Escalation!$B$6,0)</f>
        <v/>
      </c>
      <c r="W400">
        <f>IF(Q400="Y",J400*K400*Escalation!$B$7,0)</f>
        <v/>
      </c>
      <c r="X400">
        <f>SUM(R400:W400)</f>
        <v/>
      </c>
    </row>
    <row r="401">
      <c r="J401">
        <f>IF(C401="FTE",B401*1880,B401)</f>
        <v/>
      </c>
      <c r="K401">
        <f>E401*(1+F401)*(1+G401)*(1+H401)*(1+I401)</f>
        <v/>
      </c>
      <c r="R401">
        <f>IF(L401="Y",J401*K401*Escalation!$B$2,0)</f>
        <v/>
      </c>
      <c r="S401">
        <f>IF(M401="Y",J401*K401*Escalation!$B$3,0)</f>
        <v/>
      </c>
      <c r="T401">
        <f>IF(N401="Y",J401*K401*Escalation!$B$4,0)</f>
        <v/>
      </c>
      <c r="U401">
        <f>IF(O401="Y",J401*K401*Escalation!$B$5,0)</f>
        <v/>
      </c>
      <c r="V401">
        <f>IF(P401="Y",J401*K401*Escalation!$B$6,0)</f>
        <v/>
      </c>
      <c r="W401">
        <f>IF(Q401="Y",J401*K401*Escalation!$B$7,0)</f>
        <v/>
      </c>
      <c r="X401">
        <f>SUM(R401:W401)</f>
        <v/>
      </c>
    </row>
    <row r="402">
      <c r="J402">
        <f>IF(C402="FTE",B402*1880,B402)</f>
        <v/>
      </c>
      <c r="K402">
        <f>E402*(1+F402)*(1+G402)*(1+H402)*(1+I402)</f>
        <v/>
      </c>
      <c r="R402">
        <f>IF(L402="Y",J402*K402*Escalation!$B$2,0)</f>
        <v/>
      </c>
      <c r="S402">
        <f>IF(M402="Y",J402*K402*Escalation!$B$3,0)</f>
        <v/>
      </c>
      <c r="T402">
        <f>IF(N402="Y",J402*K402*Escalation!$B$4,0)</f>
        <v/>
      </c>
      <c r="U402">
        <f>IF(O402="Y",J402*K402*Escalation!$B$5,0)</f>
        <v/>
      </c>
      <c r="V402">
        <f>IF(P402="Y",J402*K402*Escalation!$B$6,0)</f>
        <v/>
      </c>
      <c r="W402">
        <f>IF(Q402="Y",J402*K402*Escalation!$B$7,0)</f>
        <v/>
      </c>
      <c r="X402">
        <f>SUM(R402:W402)</f>
        <v/>
      </c>
    </row>
    <row r="403">
      <c r="J403">
        <f>IF(C403="FTE",B403*1880,B403)</f>
        <v/>
      </c>
      <c r="K403">
        <f>E403*(1+F403)*(1+G403)*(1+H403)*(1+I403)</f>
        <v/>
      </c>
      <c r="R403">
        <f>IF(L403="Y",J403*K403*Escalation!$B$2,0)</f>
        <v/>
      </c>
      <c r="S403">
        <f>IF(M403="Y",J403*K403*Escalation!$B$3,0)</f>
        <v/>
      </c>
      <c r="T403">
        <f>IF(N403="Y",J403*K403*Escalation!$B$4,0)</f>
        <v/>
      </c>
      <c r="U403">
        <f>IF(O403="Y",J403*K403*Escalation!$B$5,0)</f>
        <v/>
      </c>
      <c r="V403">
        <f>IF(P403="Y",J403*K403*Escalation!$B$6,0)</f>
        <v/>
      </c>
      <c r="W403">
        <f>IF(Q403="Y",J403*K403*Escalation!$B$7,0)</f>
        <v/>
      </c>
      <c r="X403">
        <f>SUM(R403:W403)</f>
        <v/>
      </c>
    </row>
    <row r="404">
      <c r="J404">
        <f>IF(C404="FTE",B404*1880,B404)</f>
        <v/>
      </c>
      <c r="K404">
        <f>E404*(1+F404)*(1+G404)*(1+H404)*(1+I404)</f>
        <v/>
      </c>
      <c r="R404">
        <f>IF(L404="Y",J404*K404*Escalation!$B$2,0)</f>
        <v/>
      </c>
      <c r="S404">
        <f>IF(M404="Y",J404*K404*Escalation!$B$3,0)</f>
        <v/>
      </c>
      <c r="T404">
        <f>IF(N404="Y",J404*K404*Escalation!$B$4,0)</f>
        <v/>
      </c>
      <c r="U404">
        <f>IF(O404="Y",J404*K404*Escalation!$B$5,0)</f>
        <v/>
      </c>
      <c r="V404">
        <f>IF(P404="Y",J404*K404*Escalation!$B$6,0)</f>
        <v/>
      </c>
      <c r="W404">
        <f>IF(Q404="Y",J404*K404*Escalation!$B$7,0)</f>
        <v/>
      </c>
      <c r="X404">
        <f>SUM(R404:W404)</f>
        <v/>
      </c>
    </row>
    <row r="405">
      <c r="J405">
        <f>IF(C405="FTE",B405*1880,B405)</f>
        <v/>
      </c>
      <c r="K405">
        <f>E405*(1+F405)*(1+G405)*(1+H405)*(1+I405)</f>
        <v/>
      </c>
      <c r="R405">
        <f>IF(L405="Y",J405*K405*Escalation!$B$2,0)</f>
        <v/>
      </c>
      <c r="S405">
        <f>IF(M405="Y",J405*K405*Escalation!$B$3,0)</f>
        <v/>
      </c>
      <c r="T405">
        <f>IF(N405="Y",J405*K405*Escalation!$B$4,0)</f>
        <v/>
      </c>
      <c r="U405">
        <f>IF(O405="Y",J405*K405*Escalation!$B$5,0)</f>
        <v/>
      </c>
      <c r="V405">
        <f>IF(P405="Y",J405*K405*Escalation!$B$6,0)</f>
        <v/>
      </c>
      <c r="W405">
        <f>IF(Q405="Y",J405*K405*Escalation!$B$7,0)</f>
        <v/>
      </c>
      <c r="X405">
        <f>SUM(R405:W405)</f>
        <v/>
      </c>
    </row>
    <row r="406">
      <c r="J406">
        <f>IF(C406="FTE",B406*1880,B406)</f>
        <v/>
      </c>
      <c r="K406">
        <f>E406*(1+F406)*(1+G406)*(1+H406)*(1+I406)</f>
        <v/>
      </c>
      <c r="R406">
        <f>IF(L406="Y",J406*K406*Escalation!$B$2,0)</f>
        <v/>
      </c>
      <c r="S406">
        <f>IF(M406="Y",J406*K406*Escalation!$B$3,0)</f>
        <v/>
      </c>
      <c r="T406">
        <f>IF(N406="Y",J406*K406*Escalation!$B$4,0)</f>
        <v/>
      </c>
      <c r="U406">
        <f>IF(O406="Y",J406*K406*Escalation!$B$5,0)</f>
        <v/>
      </c>
      <c r="V406">
        <f>IF(P406="Y",J406*K406*Escalation!$B$6,0)</f>
        <v/>
      </c>
      <c r="W406">
        <f>IF(Q406="Y",J406*K406*Escalation!$B$7,0)</f>
        <v/>
      </c>
      <c r="X406">
        <f>SUM(R406:W406)</f>
        <v/>
      </c>
    </row>
    <row r="407">
      <c r="J407">
        <f>IF(C407="FTE",B407*1880,B407)</f>
        <v/>
      </c>
      <c r="K407">
        <f>E407*(1+F407)*(1+G407)*(1+H407)*(1+I407)</f>
        <v/>
      </c>
      <c r="R407">
        <f>IF(L407="Y",J407*K407*Escalation!$B$2,0)</f>
        <v/>
      </c>
      <c r="S407">
        <f>IF(M407="Y",J407*K407*Escalation!$B$3,0)</f>
        <v/>
      </c>
      <c r="T407">
        <f>IF(N407="Y",J407*K407*Escalation!$B$4,0)</f>
        <v/>
      </c>
      <c r="U407">
        <f>IF(O407="Y",J407*K407*Escalation!$B$5,0)</f>
        <v/>
      </c>
      <c r="V407">
        <f>IF(P407="Y",J407*K407*Escalation!$B$6,0)</f>
        <v/>
      </c>
      <c r="W407">
        <f>IF(Q407="Y",J407*K407*Escalation!$B$7,0)</f>
        <v/>
      </c>
      <c r="X407">
        <f>SUM(R407:W407)</f>
        <v/>
      </c>
    </row>
    <row r="408">
      <c r="J408">
        <f>IF(C408="FTE",B408*1880,B408)</f>
        <v/>
      </c>
      <c r="K408">
        <f>E408*(1+F408)*(1+G408)*(1+H408)*(1+I408)</f>
        <v/>
      </c>
      <c r="R408">
        <f>IF(L408="Y",J408*K408*Escalation!$B$2,0)</f>
        <v/>
      </c>
      <c r="S408">
        <f>IF(M408="Y",J408*K408*Escalation!$B$3,0)</f>
        <v/>
      </c>
      <c r="T408">
        <f>IF(N408="Y",J408*K408*Escalation!$B$4,0)</f>
        <v/>
      </c>
      <c r="U408">
        <f>IF(O408="Y",J408*K408*Escalation!$B$5,0)</f>
        <v/>
      </c>
      <c r="V408">
        <f>IF(P408="Y",J408*K408*Escalation!$B$6,0)</f>
        <v/>
      </c>
      <c r="W408">
        <f>IF(Q408="Y",J408*K408*Escalation!$B$7,0)</f>
        <v/>
      </c>
      <c r="X408">
        <f>SUM(R408:W408)</f>
        <v/>
      </c>
    </row>
    <row r="409">
      <c r="J409">
        <f>IF(C409="FTE",B409*1880,B409)</f>
        <v/>
      </c>
      <c r="K409">
        <f>E409*(1+F409)*(1+G409)*(1+H409)*(1+I409)</f>
        <v/>
      </c>
      <c r="R409">
        <f>IF(L409="Y",J409*K409*Escalation!$B$2,0)</f>
        <v/>
      </c>
      <c r="S409">
        <f>IF(M409="Y",J409*K409*Escalation!$B$3,0)</f>
        <v/>
      </c>
      <c r="T409">
        <f>IF(N409="Y",J409*K409*Escalation!$B$4,0)</f>
        <v/>
      </c>
      <c r="U409">
        <f>IF(O409="Y",J409*K409*Escalation!$B$5,0)</f>
        <v/>
      </c>
      <c r="V409">
        <f>IF(P409="Y",J409*K409*Escalation!$B$6,0)</f>
        <v/>
      </c>
      <c r="W409">
        <f>IF(Q409="Y",J409*K409*Escalation!$B$7,0)</f>
        <v/>
      </c>
      <c r="X409">
        <f>SUM(R409:W409)</f>
        <v/>
      </c>
    </row>
    <row r="410">
      <c r="J410">
        <f>IF(C410="FTE",B410*1880,B410)</f>
        <v/>
      </c>
      <c r="K410">
        <f>E410*(1+F410)*(1+G410)*(1+H410)*(1+I410)</f>
        <v/>
      </c>
      <c r="R410">
        <f>IF(L410="Y",J410*K410*Escalation!$B$2,0)</f>
        <v/>
      </c>
      <c r="S410">
        <f>IF(M410="Y",J410*K410*Escalation!$B$3,0)</f>
        <v/>
      </c>
      <c r="T410">
        <f>IF(N410="Y",J410*K410*Escalation!$B$4,0)</f>
        <v/>
      </c>
      <c r="U410">
        <f>IF(O410="Y",J410*K410*Escalation!$B$5,0)</f>
        <v/>
      </c>
      <c r="V410">
        <f>IF(P410="Y",J410*K410*Escalation!$B$6,0)</f>
        <v/>
      </c>
      <c r="W410">
        <f>IF(Q410="Y",J410*K410*Escalation!$B$7,0)</f>
        <v/>
      </c>
      <c r="X410">
        <f>SUM(R410:W410)</f>
        <v/>
      </c>
    </row>
    <row r="411">
      <c r="J411">
        <f>IF(C411="FTE",B411*1880,B411)</f>
        <v/>
      </c>
      <c r="K411">
        <f>E411*(1+F411)*(1+G411)*(1+H411)*(1+I411)</f>
        <v/>
      </c>
      <c r="R411">
        <f>IF(L411="Y",J411*K411*Escalation!$B$2,0)</f>
        <v/>
      </c>
      <c r="S411">
        <f>IF(M411="Y",J411*K411*Escalation!$B$3,0)</f>
        <v/>
      </c>
      <c r="T411">
        <f>IF(N411="Y",J411*K411*Escalation!$B$4,0)</f>
        <v/>
      </c>
      <c r="U411">
        <f>IF(O411="Y",J411*K411*Escalation!$B$5,0)</f>
        <v/>
      </c>
      <c r="V411">
        <f>IF(P411="Y",J411*K411*Escalation!$B$6,0)</f>
        <v/>
      </c>
      <c r="W411">
        <f>IF(Q411="Y",J411*K411*Escalation!$B$7,0)</f>
        <v/>
      </c>
      <c r="X411">
        <f>SUM(R411:W411)</f>
        <v/>
      </c>
    </row>
    <row r="412">
      <c r="J412">
        <f>IF(C412="FTE",B412*1880,B412)</f>
        <v/>
      </c>
      <c r="K412">
        <f>E412*(1+F412)*(1+G412)*(1+H412)*(1+I412)</f>
        <v/>
      </c>
      <c r="R412">
        <f>IF(L412="Y",J412*K412*Escalation!$B$2,0)</f>
        <v/>
      </c>
      <c r="S412">
        <f>IF(M412="Y",J412*K412*Escalation!$B$3,0)</f>
        <v/>
      </c>
      <c r="T412">
        <f>IF(N412="Y",J412*K412*Escalation!$B$4,0)</f>
        <v/>
      </c>
      <c r="U412">
        <f>IF(O412="Y",J412*K412*Escalation!$B$5,0)</f>
        <v/>
      </c>
      <c r="V412">
        <f>IF(P412="Y",J412*K412*Escalation!$B$6,0)</f>
        <v/>
      </c>
      <c r="W412">
        <f>IF(Q412="Y",J412*K412*Escalation!$B$7,0)</f>
        <v/>
      </c>
      <c r="X412">
        <f>SUM(R412:W412)</f>
        <v/>
      </c>
    </row>
    <row r="413">
      <c r="J413">
        <f>IF(C413="FTE",B413*1880,B413)</f>
        <v/>
      </c>
      <c r="K413">
        <f>E413*(1+F413)*(1+G413)*(1+H413)*(1+I413)</f>
        <v/>
      </c>
      <c r="R413">
        <f>IF(L413="Y",J413*K413*Escalation!$B$2,0)</f>
        <v/>
      </c>
      <c r="S413">
        <f>IF(M413="Y",J413*K413*Escalation!$B$3,0)</f>
        <v/>
      </c>
      <c r="T413">
        <f>IF(N413="Y",J413*K413*Escalation!$B$4,0)</f>
        <v/>
      </c>
      <c r="U413">
        <f>IF(O413="Y",J413*K413*Escalation!$B$5,0)</f>
        <v/>
      </c>
      <c r="V413">
        <f>IF(P413="Y",J413*K413*Escalation!$B$6,0)</f>
        <v/>
      </c>
      <c r="W413">
        <f>IF(Q413="Y",J413*K413*Escalation!$B$7,0)</f>
        <v/>
      </c>
      <c r="X413">
        <f>SUM(R413:W413)</f>
        <v/>
      </c>
    </row>
    <row r="414">
      <c r="J414">
        <f>IF(C414="FTE",B414*1880,B414)</f>
        <v/>
      </c>
      <c r="K414">
        <f>E414*(1+F414)*(1+G414)*(1+H414)*(1+I414)</f>
        <v/>
      </c>
      <c r="R414">
        <f>IF(L414="Y",J414*K414*Escalation!$B$2,0)</f>
        <v/>
      </c>
      <c r="S414">
        <f>IF(M414="Y",J414*K414*Escalation!$B$3,0)</f>
        <v/>
      </c>
      <c r="T414">
        <f>IF(N414="Y",J414*K414*Escalation!$B$4,0)</f>
        <v/>
      </c>
      <c r="U414">
        <f>IF(O414="Y",J414*K414*Escalation!$B$5,0)</f>
        <v/>
      </c>
      <c r="V414">
        <f>IF(P414="Y",J414*K414*Escalation!$B$6,0)</f>
        <v/>
      </c>
      <c r="W414">
        <f>IF(Q414="Y",J414*K414*Escalation!$B$7,0)</f>
        <v/>
      </c>
      <c r="X414">
        <f>SUM(R414:W414)</f>
        <v/>
      </c>
    </row>
    <row r="415">
      <c r="J415">
        <f>IF(C415="FTE",B415*1880,B415)</f>
        <v/>
      </c>
      <c r="K415">
        <f>E415*(1+F415)*(1+G415)*(1+H415)*(1+I415)</f>
        <v/>
      </c>
      <c r="R415">
        <f>IF(L415="Y",J415*K415*Escalation!$B$2,0)</f>
        <v/>
      </c>
      <c r="S415">
        <f>IF(M415="Y",J415*K415*Escalation!$B$3,0)</f>
        <v/>
      </c>
      <c r="T415">
        <f>IF(N415="Y",J415*K415*Escalation!$B$4,0)</f>
        <v/>
      </c>
      <c r="U415">
        <f>IF(O415="Y",J415*K415*Escalation!$B$5,0)</f>
        <v/>
      </c>
      <c r="V415">
        <f>IF(P415="Y",J415*K415*Escalation!$B$6,0)</f>
        <v/>
      </c>
      <c r="W415">
        <f>IF(Q415="Y",J415*K415*Escalation!$B$7,0)</f>
        <v/>
      </c>
      <c r="X415">
        <f>SUM(R415:W415)</f>
        <v/>
      </c>
    </row>
    <row r="416">
      <c r="J416">
        <f>IF(C416="FTE",B416*1880,B416)</f>
        <v/>
      </c>
      <c r="K416">
        <f>E416*(1+F416)*(1+G416)*(1+H416)*(1+I416)</f>
        <v/>
      </c>
      <c r="R416">
        <f>IF(L416="Y",J416*K416*Escalation!$B$2,0)</f>
        <v/>
      </c>
      <c r="S416">
        <f>IF(M416="Y",J416*K416*Escalation!$B$3,0)</f>
        <v/>
      </c>
      <c r="T416">
        <f>IF(N416="Y",J416*K416*Escalation!$B$4,0)</f>
        <v/>
      </c>
      <c r="U416">
        <f>IF(O416="Y",J416*K416*Escalation!$B$5,0)</f>
        <v/>
      </c>
      <c r="V416">
        <f>IF(P416="Y",J416*K416*Escalation!$B$6,0)</f>
        <v/>
      </c>
      <c r="W416">
        <f>IF(Q416="Y",J416*K416*Escalation!$B$7,0)</f>
        <v/>
      </c>
      <c r="X416">
        <f>SUM(R416:W416)</f>
        <v/>
      </c>
    </row>
    <row r="417">
      <c r="J417">
        <f>IF(C417="FTE",B417*1880,B417)</f>
        <v/>
      </c>
      <c r="K417">
        <f>E417*(1+F417)*(1+G417)*(1+H417)*(1+I417)</f>
        <v/>
      </c>
      <c r="R417">
        <f>IF(L417="Y",J417*K417*Escalation!$B$2,0)</f>
        <v/>
      </c>
      <c r="S417">
        <f>IF(M417="Y",J417*K417*Escalation!$B$3,0)</f>
        <v/>
      </c>
      <c r="T417">
        <f>IF(N417="Y",J417*K417*Escalation!$B$4,0)</f>
        <v/>
      </c>
      <c r="U417">
        <f>IF(O417="Y",J417*K417*Escalation!$B$5,0)</f>
        <v/>
      </c>
      <c r="V417">
        <f>IF(P417="Y",J417*K417*Escalation!$B$6,0)</f>
        <v/>
      </c>
      <c r="W417">
        <f>IF(Q417="Y",J417*K417*Escalation!$B$7,0)</f>
        <v/>
      </c>
      <c r="X417">
        <f>SUM(R417:W417)</f>
        <v/>
      </c>
    </row>
    <row r="418">
      <c r="J418">
        <f>IF(C418="FTE",B418*1880,B418)</f>
        <v/>
      </c>
      <c r="K418">
        <f>E418*(1+F418)*(1+G418)*(1+H418)*(1+I418)</f>
        <v/>
      </c>
      <c r="R418">
        <f>IF(L418="Y",J418*K418*Escalation!$B$2,0)</f>
        <v/>
      </c>
      <c r="S418">
        <f>IF(M418="Y",J418*K418*Escalation!$B$3,0)</f>
        <v/>
      </c>
      <c r="T418">
        <f>IF(N418="Y",J418*K418*Escalation!$B$4,0)</f>
        <v/>
      </c>
      <c r="U418">
        <f>IF(O418="Y",J418*K418*Escalation!$B$5,0)</f>
        <v/>
      </c>
      <c r="V418">
        <f>IF(P418="Y",J418*K418*Escalation!$B$6,0)</f>
        <v/>
      </c>
      <c r="W418">
        <f>IF(Q418="Y",J418*K418*Escalation!$B$7,0)</f>
        <v/>
      </c>
      <c r="X418">
        <f>SUM(R418:W418)</f>
        <v/>
      </c>
    </row>
    <row r="419">
      <c r="J419">
        <f>IF(C419="FTE",B419*1880,B419)</f>
        <v/>
      </c>
      <c r="K419">
        <f>E419*(1+F419)*(1+G419)*(1+H419)*(1+I419)</f>
        <v/>
      </c>
      <c r="R419">
        <f>IF(L419="Y",J419*K419*Escalation!$B$2,0)</f>
        <v/>
      </c>
      <c r="S419">
        <f>IF(M419="Y",J419*K419*Escalation!$B$3,0)</f>
        <v/>
      </c>
      <c r="T419">
        <f>IF(N419="Y",J419*K419*Escalation!$B$4,0)</f>
        <v/>
      </c>
      <c r="U419">
        <f>IF(O419="Y",J419*K419*Escalation!$B$5,0)</f>
        <v/>
      </c>
      <c r="V419">
        <f>IF(P419="Y",J419*K419*Escalation!$B$6,0)</f>
        <v/>
      </c>
      <c r="W419">
        <f>IF(Q419="Y",J419*K419*Escalation!$B$7,0)</f>
        <v/>
      </c>
      <c r="X419">
        <f>SUM(R419:W419)</f>
        <v/>
      </c>
    </row>
    <row r="420">
      <c r="J420">
        <f>IF(C420="FTE",B420*1880,B420)</f>
        <v/>
      </c>
      <c r="K420">
        <f>E420*(1+F420)*(1+G420)*(1+H420)*(1+I420)</f>
        <v/>
      </c>
      <c r="R420">
        <f>IF(L420="Y",J420*K420*Escalation!$B$2,0)</f>
        <v/>
      </c>
      <c r="S420">
        <f>IF(M420="Y",J420*K420*Escalation!$B$3,0)</f>
        <v/>
      </c>
      <c r="T420">
        <f>IF(N420="Y",J420*K420*Escalation!$B$4,0)</f>
        <v/>
      </c>
      <c r="U420">
        <f>IF(O420="Y",J420*K420*Escalation!$B$5,0)</f>
        <v/>
      </c>
      <c r="V420">
        <f>IF(P420="Y",J420*K420*Escalation!$B$6,0)</f>
        <v/>
      </c>
      <c r="W420">
        <f>IF(Q420="Y",J420*K420*Escalation!$B$7,0)</f>
        <v/>
      </c>
      <c r="X420">
        <f>SUM(R420:W420)</f>
        <v/>
      </c>
    </row>
    <row r="421">
      <c r="J421">
        <f>IF(C421="FTE",B421*1880,B421)</f>
        <v/>
      </c>
      <c r="K421">
        <f>E421*(1+F421)*(1+G421)*(1+H421)*(1+I421)</f>
        <v/>
      </c>
      <c r="R421">
        <f>IF(L421="Y",J421*K421*Escalation!$B$2,0)</f>
        <v/>
      </c>
      <c r="S421">
        <f>IF(M421="Y",J421*K421*Escalation!$B$3,0)</f>
        <v/>
      </c>
      <c r="T421">
        <f>IF(N421="Y",J421*K421*Escalation!$B$4,0)</f>
        <v/>
      </c>
      <c r="U421">
        <f>IF(O421="Y",J421*K421*Escalation!$B$5,0)</f>
        <v/>
      </c>
      <c r="V421">
        <f>IF(P421="Y",J421*K421*Escalation!$B$6,0)</f>
        <v/>
      </c>
      <c r="W421">
        <f>IF(Q421="Y",J421*K421*Escalation!$B$7,0)</f>
        <v/>
      </c>
      <c r="X421">
        <f>SUM(R421:W421)</f>
        <v/>
      </c>
    </row>
    <row r="422">
      <c r="J422">
        <f>IF(C422="FTE",B422*1880,B422)</f>
        <v/>
      </c>
      <c r="K422">
        <f>E422*(1+F422)*(1+G422)*(1+H422)*(1+I422)</f>
        <v/>
      </c>
      <c r="R422">
        <f>IF(L422="Y",J422*K422*Escalation!$B$2,0)</f>
        <v/>
      </c>
      <c r="S422">
        <f>IF(M422="Y",J422*K422*Escalation!$B$3,0)</f>
        <v/>
      </c>
      <c r="T422">
        <f>IF(N422="Y",J422*K422*Escalation!$B$4,0)</f>
        <v/>
      </c>
      <c r="U422">
        <f>IF(O422="Y",J422*K422*Escalation!$B$5,0)</f>
        <v/>
      </c>
      <c r="V422">
        <f>IF(P422="Y",J422*K422*Escalation!$B$6,0)</f>
        <v/>
      </c>
      <c r="W422">
        <f>IF(Q422="Y",J422*K422*Escalation!$B$7,0)</f>
        <v/>
      </c>
      <c r="X422">
        <f>SUM(R422:W422)</f>
        <v/>
      </c>
    </row>
    <row r="423">
      <c r="J423">
        <f>IF(C423="FTE",B423*1880,B423)</f>
        <v/>
      </c>
      <c r="K423">
        <f>E423*(1+F423)*(1+G423)*(1+H423)*(1+I423)</f>
        <v/>
      </c>
      <c r="R423">
        <f>IF(L423="Y",J423*K423*Escalation!$B$2,0)</f>
        <v/>
      </c>
      <c r="S423">
        <f>IF(M423="Y",J423*K423*Escalation!$B$3,0)</f>
        <v/>
      </c>
      <c r="T423">
        <f>IF(N423="Y",J423*K423*Escalation!$B$4,0)</f>
        <v/>
      </c>
      <c r="U423">
        <f>IF(O423="Y",J423*K423*Escalation!$B$5,0)</f>
        <v/>
      </c>
      <c r="V423">
        <f>IF(P423="Y",J423*K423*Escalation!$B$6,0)</f>
        <v/>
      </c>
      <c r="W423">
        <f>IF(Q423="Y",J423*K423*Escalation!$B$7,0)</f>
        <v/>
      </c>
      <c r="X423">
        <f>SUM(R423:W423)</f>
        <v/>
      </c>
    </row>
    <row r="424">
      <c r="J424">
        <f>IF(C424="FTE",B424*1880,B424)</f>
        <v/>
      </c>
      <c r="K424">
        <f>E424*(1+F424)*(1+G424)*(1+H424)*(1+I424)</f>
        <v/>
      </c>
      <c r="R424">
        <f>IF(L424="Y",J424*K424*Escalation!$B$2,0)</f>
        <v/>
      </c>
      <c r="S424">
        <f>IF(M424="Y",J424*K424*Escalation!$B$3,0)</f>
        <v/>
      </c>
      <c r="T424">
        <f>IF(N424="Y",J424*K424*Escalation!$B$4,0)</f>
        <v/>
      </c>
      <c r="U424">
        <f>IF(O424="Y",J424*K424*Escalation!$B$5,0)</f>
        <v/>
      </c>
      <c r="V424">
        <f>IF(P424="Y",J424*K424*Escalation!$B$6,0)</f>
        <v/>
      </c>
      <c r="W424">
        <f>IF(Q424="Y",J424*K424*Escalation!$B$7,0)</f>
        <v/>
      </c>
      <c r="X424">
        <f>SUM(R424:W424)</f>
        <v/>
      </c>
    </row>
    <row r="425">
      <c r="J425">
        <f>IF(C425="FTE",B425*1880,B425)</f>
        <v/>
      </c>
      <c r="K425">
        <f>E425*(1+F425)*(1+G425)*(1+H425)*(1+I425)</f>
        <v/>
      </c>
      <c r="R425">
        <f>IF(L425="Y",J425*K425*Escalation!$B$2,0)</f>
        <v/>
      </c>
      <c r="S425">
        <f>IF(M425="Y",J425*K425*Escalation!$B$3,0)</f>
        <v/>
      </c>
      <c r="T425">
        <f>IF(N425="Y",J425*K425*Escalation!$B$4,0)</f>
        <v/>
      </c>
      <c r="U425">
        <f>IF(O425="Y",J425*K425*Escalation!$B$5,0)</f>
        <v/>
      </c>
      <c r="V425">
        <f>IF(P425="Y",J425*K425*Escalation!$B$6,0)</f>
        <v/>
      </c>
      <c r="W425">
        <f>IF(Q425="Y",J425*K425*Escalation!$B$7,0)</f>
        <v/>
      </c>
      <c r="X425">
        <f>SUM(R425:W425)</f>
        <v/>
      </c>
    </row>
    <row r="426">
      <c r="J426">
        <f>IF(C426="FTE",B426*1880,B426)</f>
        <v/>
      </c>
      <c r="K426">
        <f>E426*(1+F426)*(1+G426)*(1+H426)*(1+I426)</f>
        <v/>
      </c>
      <c r="R426">
        <f>IF(L426="Y",J426*K426*Escalation!$B$2,0)</f>
        <v/>
      </c>
      <c r="S426">
        <f>IF(M426="Y",J426*K426*Escalation!$B$3,0)</f>
        <v/>
      </c>
      <c r="T426">
        <f>IF(N426="Y",J426*K426*Escalation!$B$4,0)</f>
        <v/>
      </c>
      <c r="U426">
        <f>IF(O426="Y",J426*K426*Escalation!$B$5,0)</f>
        <v/>
      </c>
      <c r="V426">
        <f>IF(P426="Y",J426*K426*Escalation!$B$6,0)</f>
        <v/>
      </c>
      <c r="W426">
        <f>IF(Q426="Y",J426*K426*Escalation!$B$7,0)</f>
        <v/>
      </c>
      <c r="X426">
        <f>SUM(R426:W426)</f>
        <v/>
      </c>
    </row>
    <row r="427">
      <c r="J427">
        <f>IF(C427="FTE",B427*1880,B427)</f>
        <v/>
      </c>
      <c r="K427">
        <f>E427*(1+F427)*(1+G427)*(1+H427)*(1+I427)</f>
        <v/>
      </c>
      <c r="R427">
        <f>IF(L427="Y",J427*K427*Escalation!$B$2,0)</f>
        <v/>
      </c>
      <c r="S427">
        <f>IF(M427="Y",J427*K427*Escalation!$B$3,0)</f>
        <v/>
      </c>
      <c r="T427">
        <f>IF(N427="Y",J427*K427*Escalation!$B$4,0)</f>
        <v/>
      </c>
      <c r="U427">
        <f>IF(O427="Y",J427*K427*Escalation!$B$5,0)</f>
        <v/>
      </c>
      <c r="V427">
        <f>IF(P427="Y",J427*K427*Escalation!$B$6,0)</f>
        <v/>
      </c>
      <c r="W427">
        <f>IF(Q427="Y",J427*K427*Escalation!$B$7,0)</f>
        <v/>
      </c>
      <c r="X427">
        <f>SUM(R427:W427)</f>
        <v/>
      </c>
    </row>
    <row r="428">
      <c r="J428">
        <f>IF(C428="FTE",B428*1880,B428)</f>
        <v/>
      </c>
      <c r="K428">
        <f>E428*(1+F428)*(1+G428)*(1+H428)*(1+I428)</f>
        <v/>
      </c>
      <c r="R428">
        <f>IF(L428="Y",J428*K428*Escalation!$B$2,0)</f>
        <v/>
      </c>
      <c r="S428">
        <f>IF(M428="Y",J428*K428*Escalation!$B$3,0)</f>
        <v/>
      </c>
      <c r="T428">
        <f>IF(N428="Y",J428*K428*Escalation!$B$4,0)</f>
        <v/>
      </c>
      <c r="U428">
        <f>IF(O428="Y",J428*K428*Escalation!$B$5,0)</f>
        <v/>
      </c>
      <c r="V428">
        <f>IF(P428="Y",J428*K428*Escalation!$B$6,0)</f>
        <v/>
      </c>
      <c r="W428">
        <f>IF(Q428="Y",J428*K428*Escalation!$B$7,0)</f>
        <v/>
      </c>
      <c r="X428">
        <f>SUM(R428:W428)</f>
        <v/>
      </c>
    </row>
    <row r="429">
      <c r="J429">
        <f>IF(C429="FTE",B429*1880,B429)</f>
        <v/>
      </c>
      <c r="K429">
        <f>E429*(1+F429)*(1+G429)*(1+H429)*(1+I429)</f>
        <v/>
      </c>
      <c r="R429">
        <f>IF(L429="Y",J429*K429*Escalation!$B$2,0)</f>
        <v/>
      </c>
      <c r="S429">
        <f>IF(M429="Y",J429*K429*Escalation!$B$3,0)</f>
        <v/>
      </c>
      <c r="T429">
        <f>IF(N429="Y",J429*K429*Escalation!$B$4,0)</f>
        <v/>
      </c>
      <c r="U429">
        <f>IF(O429="Y",J429*K429*Escalation!$B$5,0)</f>
        <v/>
      </c>
      <c r="V429">
        <f>IF(P429="Y",J429*K429*Escalation!$B$6,0)</f>
        <v/>
      </c>
      <c r="W429">
        <f>IF(Q429="Y",J429*K429*Escalation!$B$7,0)</f>
        <v/>
      </c>
      <c r="X429">
        <f>SUM(R429:W429)</f>
        <v/>
      </c>
    </row>
    <row r="430">
      <c r="J430">
        <f>IF(C430="FTE",B430*1880,B430)</f>
        <v/>
      </c>
      <c r="K430">
        <f>E430*(1+F430)*(1+G430)*(1+H430)*(1+I430)</f>
        <v/>
      </c>
      <c r="R430">
        <f>IF(L430="Y",J430*K430*Escalation!$B$2,0)</f>
        <v/>
      </c>
      <c r="S430">
        <f>IF(M430="Y",J430*K430*Escalation!$B$3,0)</f>
        <v/>
      </c>
      <c r="T430">
        <f>IF(N430="Y",J430*K430*Escalation!$B$4,0)</f>
        <v/>
      </c>
      <c r="U430">
        <f>IF(O430="Y",J430*K430*Escalation!$B$5,0)</f>
        <v/>
      </c>
      <c r="V430">
        <f>IF(P430="Y",J430*K430*Escalation!$B$6,0)</f>
        <v/>
      </c>
      <c r="W430">
        <f>IF(Q430="Y",J430*K430*Escalation!$B$7,0)</f>
        <v/>
      </c>
      <c r="X430">
        <f>SUM(R430:W430)</f>
        <v/>
      </c>
    </row>
    <row r="431">
      <c r="J431">
        <f>IF(C431="FTE",B431*1880,B431)</f>
        <v/>
      </c>
      <c r="K431">
        <f>E431*(1+F431)*(1+G431)*(1+H431)*(1+I431)</f>
        <v/>
      </c>
      <c r="R431">
        <f>IF(L431="Y",J431*K431*Escalation!$B$2,0)</f>
        <v/>
      </c>
      <c r="S431">
        <f>IF(M431="Y",J431*K431*Escalation!$B$3,0)</f>
        <v/>
      </c>
      <c r="T431">
        <f>IF(N431="Y",J431*K431*Escalation!$B$4,0)</f>
        <v/>
      </c>
      <c r="U431">
        <f>IF(O431="Y",J431*K431*Escalation!$B$5,0)</f>
        <v/>
      </c>
      <c r="V431">
        <f>IF(P431="Y",J431*K431*Escalation!$B$6,0)</f>
        <v/>
      </c>
      <c r="W431">
        <f>IF(Q431="Y",J431*K431*Escalation!$B$7,0)</f>
        <v/>
      </c>
      <c r="X431">
        <f>SUM(R431:W431)</f>
        <v/>
      </c>
    </row>
    <row r="432">
      <c r="J432">
        <f>IF(C432="FTE",B432*1880,B432)</f>
        <v/>
      </c>
      <c r="K432">
        <f>E432*(1+F432)*(1+G432)*(1+H432)*(1+I432)</f>
        <v/>
      </c>
      <c r="R432">
        <f>IF(L432="Y",J432*K432*Escalation!$B$2,0)</f>
        <v/>
      </c>
      <c r="S432">
        <f>IF(M432="Y",J432*K432*Escalation!$B$3,0)</f>
        <v/>
      </c>
      <c r="T432">
        <f>IF(N432="Y",J432*K432*Escalation!$B$4,0)</f>
        <v/>
      </c>
      <c r="U432">
        <f>IF(O432="Y",J432*K432*Escalation!$B$5,0)</f>
        <v/>
      </c>
      <c r="V432">
        <f>IF(P432="Y",J432*K432*Escalation!$B$6,0)</f>
        <v/>
      </c>
      <c r="W432">
        <f>IF(Q432="Y",J432*K432*Escalation!$B$7,0)</f>
        <v/>
      </c>
      <c r="X432">
        <f>SUM(R432:W432)</f>
        <v/>
      </c>
    </row>
    <row r="433">
      <c r="J433">
        <f>IF(C433="FTE",B433*1880,B433)</f>
        <v/>
      </c>
      <c r="K433">
        <f>E433*(1+F433)*(1+G433)*(1+H433)*(1+I433)</f>
        <v/>
      </c>
      <c r="R433">
        <f>IF(L433="Y",J433*K433*Escalation!$B$2,0)</f>
        <v/>
      </c>
      <c r="S433">
        <f>IF(M433="Y",J433*K433*Escalation!$B$3,0)</f>
        <v/>
      </c>
      <c r="T433">
        <f>IF(N433="Y",J433*K433*Escalation!$B$4,0)</f>
        <v/>
      </c>
      <c r="U433">
        <f>IF(O433="Y",J433*K433*Escalation!$B$5,0)</f>
        <v/>
      </c>
      <c r="V433">
        <f>IF(P433="Y",J433*K433*Escalation!$B$6,0)</f>
        <v/>
      </c>
      <c r="W433">
        <f>IF(Q433="Y",J433*K433*Escalation!$B$7,0)</f>
        <v/>
      </c>
      <c r="X433">
        <f>SUM(R433:W433)</f>
        <v/>
      </c>
    </row>
    <row r="434">
      <c r="J434">
        <f>IF(C434="FTE",B434*1880,B434)</f>
        <v/>
      </c>
      <c r="K434">
        <f>E434*(1+F434)*(1+G434)*(1+H434)*(1+I434)</f>
        <v/>
      </c>
      <c r="R434">
        <f>IF(L434="Y",J434*K434*Escalation!$B$2,0)</f>
        <v/>
      </c>
      <c r="S434">
        <f>IF(M434="Y",J434*K434*Escalation!$B$3,0)</f>
        <v/>
      </c>
      <c r="T434">
        <f>IF(N434="Y",J434*K434*Escalation!$B$4,0)</f>
        <v/>
      </c>
      <c r="U434">
        <f>IF(O434="Y",J434*K434*Escalation!$B$5,0)</f>
        <v/>
      </c>
      <c r="V434">
        <f>IF(P434="Y",J434*K434*Escalation!$B$6,0)</f>
        <v/>
      </c>
      <c r="W434">
        <f>IF(Q434="Y",J434*K434*Escalation!$B$7,0)</f>
        <v/>
      </c>
      <c r="X434">
        <f>SUM(R434:W434)</f>
        <v/>
      </c>
    </row>
    <row r="435">
      <c r="J435">
        <f>IF(C435="FTE",B435*1880,B435)</f>
        <v/>
      </c>
      <c r="K435">
        <f>E435*(1+F435)*(1+G435)*(1+H435)*(1+I435)</f>
        <v/>
      </c>
      <c r="R435">
        <f>IF(L435="Y",J435*K435*Escalation!$B$2,0)</f>
        <v/>
      </c>
      <c r="S435">
        <f>IF(M435="Y",J435*K435*Escalation!$B$3,0)</f>
        <v/>
      </c>
      <c r="T435">
        <f>IF(N435="Y",J435*K435*Escalation!$B$4,0)</f>
        <v/>
      </c>
      <c r="U435">
        <f>IF(O435="Y",J435*K435*Escalation!$B$5,0)</f>
        <v/>
      </c>
      <c r="V435">
        <f>IF(P435="Y",J435*K435*Escalation!$B$6,0)</f>
        <v/>
      </c>
      <c r="W435">
        <f>IF(Q435="Y",J435*K435*Escalation!$B$7,0)</f>
        <v/>
      </c>
      <c r="X435">
        <f>SUM(R435:W435)</f>
        <v/>
      </c>
    </row>
    <row r="436">
      <c r="J436">
        <f>IF(C436="FTE",B436*1880,B436)</f>
        <v/>
      </c>
      <c r="K436">
        <f>E436*(1+F436)*(1+G436)*(1+H436)*(1+I436)</f>
        <v/>
      </c>
      <c r="R436">
        <f>IF(L436="Y",J436*K436*Escalation!$B$2,0)</f>
        <v/>
      </c>
      <c r="S436">
        <f>IF(M436="Y",J436*K436*Escalation!$B$3,0)</f>
        <v/>
      </c>
      <c r="T436">
        <f>IF(N436="Y",J436*K436*Escalation!$B$4,0)</f>
        <v/>
      </c>
      <c r="U436">
        <f>IF(O436="Y",J436*K436*Escalation!$B$5,0)</f>
        <v/>
      </c>
      <c r="V436">
        <f>IF(P436="Y",J436*K436*Escalation!$B$6,0)</f>
        <v/>
      </c>
      <c r="W436">
        <f>IF(Q436="Y",J436*K436*Escalation!$B$7,0)</f>
        <v/>
      </c>
      <c r="X436">
        <f>SUM(R436:W436)</f>
        <v/>
      </c>
    </row>
    <row r="437">
      <c r="J437">
        <f>IF(C437="FTE",B437*1880,B437)</f>
        <v/>
      </c>
      <c r="K437">
        <f>E437*(1+F437)*(1+G437)*(1+H437)*(1+I437)</f>
        <v/>
      </c>
      <c r="R437">
        <f>IF(L437="Y",J437*K437*Escalation!$B$2,0)</f>
        <v/>
      </c>
      <c r="S437">
        <f>IF(M437="Y",J437*K437*Escalation!$B$3,0)</f>
        <v/>
      </c>
      <c r="T437">
        <f>IF(N437="Y",J437*K437*Escalation!$B$4,0)</f>
        <v/>
      </c>
      <c r="U437">
        <f>IF(O437="Y",J437*K437*Escalation!$B$5,0)</f>
        <v/>
      </c>
      <c r="V437">
        <f>IF(P437="Y",J437*K437*Escalation!$B$6,0)</f>
        <v/>
      </c>
      <c r="W437">
        <f>IF(Q437="Y",J437*K437*Escalation!$B$7,0)</f>
        <v/>
      </c>
      <c r="X437">
        <f>SUM(R437:W437)</f>
        <v/>
      </c>
    </row>
    <row r="438">
      <c r="J438">
        <f>IF(C438="FTE",B438*1880,B438)</f>
        <v/>
      </c>
      <c r="K438">
        <f>E438*(1+F438)*(1+G438)*(1+H438)*(1+I438)</f>
        <v/>
      </c>
      <c r="R438">
        <f>IF(L438="Y",J438*K438*Escalation!$B$2,0)</f>
        <v/>
      </c>
      <c r="S438">
        <f>IF(M438="Y",J438*K438*Escalation!$B$3,0)</f>
        <v/>
      </c>
      <c r="T438">
        <f>IF(N438="Y",J438*K438*Escalation!$B$4,0)</f>
        <v/>
      </c>
      <c r="U438">
        <f>IF(O438="Y",J438*K438*Escalation!$B$5,0)</f>
        <v/>
      </c>
      <c r="V438">
        <f>IF(P438="Y",J438*K438*Escalation!$B$6,0)</f>
        <v/>
      </c>
      <c r="W438">
        <f>IF(Q438="Y",J438*K438*Escalation!$B$7,0)</f>
        <v/>
      </c>
      <c r="X438">
        <f>SUM(R438:W438)</f>
        <v/>
      </c>
    </row>
    <row r="439">
      <c r="J439">
        <f>IF(C439="FTE",B439*1880,B439)</f>
        <v/>
      </c>
      <c r="K439">
        <f>E439*(1+F439)*(1+G439)*(1+H439)*(1+I439)</f>
        <v/>
      </c>
      <c r="R439">
        <f>IF(L439="Y",J439*K439*Escalation!$B$2,0)</f>
        <v/>
      </c>
      <c r="S439">
        <f>IF(M439="Y",J439*K439*Escalation!$B$3,0)</f>
        <v/>
      </c>
      <c r="T439">
        <f>IF(N439="Y",J439*K439*Escalation!$B$4,0)</f>
        <v/>
      </c>
      <c r="U439">
        <f>IF(O439="Y",J439*K439*Escalation!$B$5,0)</f>
        <v/>
      </c>
      <c r="V439">
        <f>IF(P439="Y",J439*K439*Escalation!$B$6,0)</f>
        <v/>
      </c>
      <c r="W439">
        <f>IF(Q439="Y",J439*K439*Escalation!$B$7,0)</f>
        <v/>
      </c>
      <c r="X439">
        <f>SUM(R439:W439)</f>
        <v/>
      </c>
    </row>
    <row r="440">
      <c r="J440">
        <f>IF(C440="FTE",B440*1880,B440)</f>
        <v/>
      </c>
      <c r="K440">
        <f>E440*(1+F440)*(1+G440)*(1+H440)*(1+I440)</f>
        <v/>
      </c>
      <c r="R440">
        <f>IF(L440="Y",J440*K440*Escalation!$B$2,0)</f>
        <v/>
      </c>
      <c r="S440">
        <f>IF(M440="Y",J440*K440*Escalation!$B$3,0)</f>
        <v/>
      </c>
      <c r="T440">
        <f>IF(N440="Y",J440*K440*Escalation!$B$4,0)</f>
        <v/>
      </c>
      <c r="U440">
        <f>IF(O440="Y",J440*K440*Escalation!$B$5,0)</f>
        <v/>
      </c>
      <c r="V440">
        <f>IF(P440="Y",J440*K440*Escalation!$B$6,0)</f>
        <v/>
      </c>
      <c r="W440">
        <f>IF(Q440="Y",J440*K440*Escalation!$B$7,0)</f>
        <v/>
      </c>
      <c r="X440">
        <f>SUM(R440:W440)</f>
        <v/>
      </c>
    </row>
    <row r="441">
      <c r="J441">
        <f>IF(C441="FTE",B441*1880,B441)</f>
        <v/>
      </c>
      <c r="K441">
        <f>E441*(1+F441)*(1+G441)*(1+H441)*(1+I441)</f>
        <v/>
      </c>
      <c r="R441">
        <f>IF(L441="Y",J441*K441*Escalation!$B$2,0)</f>
        <v/>
      </c>
      <c r="S441">
        <f>IF(M441="Y",J441*K441*Escalation!$B$3,0)</f>
        <v/>
      </c>
      <c r="T441">
        <f>IF(N441="Y",J441*K441*Escalation!$B$4,0)</f>
        <v/>
      </c>
      <c r="U441">
        <f>IF(O441="Y",J441*K441*Escalation!$B$5,0)</f>
        <v/>
      </c>
      <c r="V441">
        <f>IF(P441="Y",J441*K441*Escalation!$B$6,0)</f>
        <v/>
      </c>
      <c r="W441">
        <f>IF(Q441="Y",J441*K441*Escalation!$B$7,0)</f>
        <v/>
      </c>
      <c r="X441">
        <f>SUM(R441:W441)</f>
        <v/>
      </c>
    </row>
    <row r="442">
      <c r="J442">
        <f>IF(C442="FTE",B442*1880,B442)</f>
        <v/>
      </c>
      <c r="K442">
        <f>E442*(1+F442)*(1+G442)*(1+H442)*(1+I442)</f>
        <v/>
      </c>
      <c r="R442">
        <f>IF(L442="Y",J442*K442*Escalation!$B$2,0)</f>
        <v/>
      </c>
      <c r="S442">
        <f>IF(M442="Y",J442*K442*Escalation!$B$3,0)</f>
        <v/>
      </c>
      <c r="T442">
        <f>IF(N442="Y",J442*K442*Escalation!$B$4,0)</f>
        <v/>
      </c>
      <c r="U442">
        <f>IF(O442="Y",J442*K442*Escalation!$B$5,0)</f>
        <v/>
      </c>
      <c r="V442">
        <f>IF(P442="Y",J442*K442*Escalation!$B$6,0)</f>
        <v/>
      </c>
      <c r="W442">
        <f>IF(Q442="Y",J442*K442*Escalation!$B$7,0)</f>
        <v/>
      </c>
      <c r="X442">
        <f>SUM(R442:W442)</f>
        <v/>
      </c>
    </row>
    <row r="443">
      <c r="J443">
        <f>IF(C443="FTE",B443*1880,B443)</f>
        <v/>
      </c>
      <c r="K443">
        <f>E443*(1+F443)*(1+G443)*(1+H443)*(1+I443)</f>
        <v/>
      </c>
      <c r="R443">
        <f>IF(L443="Y",J443*K443*Escalation!$B$2,0)</f>
        <v/>
      </c>
      <c r="S443">
        <f>IF(M443="Y",J443*K443*Escalation!$B$3,0)</f>
        <v/>
      </c>
      <c r="T443">
        <f>IF(N443="Y",J443*K443*Escalation!$B$4,0)</f>
        <v/>
      </c>
      <c r="U443">
        <f>IF(O443="Y",J443*K443*Escalation!$B$5,0)</f>
        <v/>
      </c>
      <c r="V443">
        <f>IF(P443="Y",J443*K443*Escalation!$B$6,0)</f>
        <v/>
      </c>
      <c r="W443">
        <f>IF(Q443="Y",J443*K443*Escalation!$B$7,0)</f>
        <v/>
      </c>
      <c r="X443">
        <f>SUM(R443:W443)</f>
        <v/>
      </c>
    </row>
    <row r="444">
      <c r="J444">
        <f>IF(C444="FTE",B444*1880,B444)</f>
        <v/>
      </c>
      <c r="K444">
        <f>E444*(1+F444)*(1+G444)*(1+H444)*(1+I444)</f>
        <v/>
      </c>
      <c r="R444">
        <f>IF(L444="Y",J444*K444*Escalation!$B$2,0)</f>
        <v/>
      </c>
      <c r="S444">
        <f>IF(M444="Y",J444*K444*Escalation!$B$3,0)</f>
        <v/>
      </c>
      <c r="T444">
        <f>IF(N444="Y",J444*K444*Escalation!$B$4,0)</f>
        <v/>
      </c>
      <c r="U444">
        <f>IF(O444="Y",J444*K444*Escalation!$B$5,0)</f>
        <v/>
      </c>
      <c r="V444">
        <f>IF(P444="Y",J444*K444*Escalation!$B$6,0)</f>
        <v/>
      </c>
      <c r="W444">
        <f>IF(Q444="Y",J444*K444*Escalation!$B$7,0)</f>
        <v/>
      </c>
      <c r="X444">
        <f>SUM(R444:W444)</f>
        <v/>
      </c>
    </row>
    <row r="445">
      <c r="J445">
        <f>IF(C445="FTE",B445*1880,B445)</f>
        <v/>
      </c>
      <c r="K445">
        <f>E445*(1+F445)*(1+G445)*(1+H445)*(1+I445)</f>
        <v/>
      </c>
      <c r="R445">
        <f>IF(L445="Y",J445*K445*Escalation!$B$2,0)</f>
        <v/>
      </c>
      <c r="S445">
        <f>IF(M445="Y",J445*K445*Escalation!$B$3,0)</f>
        <v/>
      </c>
      <c r="T445">
        <f>IF(N445="Y",J445*K445*Escalation!$B$4,0)</f>
        <v/>
      </c>
      <c r="U445">
        <f>IF(O445="Y",J445*K445*Escalation!$B$5,0)</f>
        <v/>
      </c>
      <c r="V445">
        <f>IF(P445="Y",J445*K445*Escalation!$B$6,0)</f>
        <v/>
      </c>
      <c r="W445">
        <f>IF(Q445="Y",J445*K445*Escalation!$B$7,0)</f>
        <v/>
      </c>
      <c r="X445">
        <f>SUM(R445:W445)</f>
        <v/>
      </c>
    </row>
    <row r="446">
      <c r="J446">
        <f>IF(C446="FTE",B446*1880,B446)</f>
        <v/>
      </c>
      <c r="K446">
        <f>E446*(1+F446)*(1+G446)*(1+H446)*(1+I446)</f>
        <v/>
      </c>
      <c r="R446">
        <f>IF(L446="Y",J446*K446*Escalation!$B$2,0)</f>
        <v/>
      </c>
      <c r="S446">
        <f>IF(M446="Y",J446*K446*Escalation!$B$3,0)</f>
        <v/>
      </c>
      <c r="T446">
        <f>IF(N446="Y",J446*K446*Escalation!$B$4,0)</f>
        <v/>
      </c>
      <c r="U446">
        <f>IF(O446="Y",J446*K446*Escalation!$B$5,0)</f>
        <v/>
      </c>
      <c r="V446">
        <f>IF(P446="Y",J446*K446*Escalation!$B$6,0)</f>
        <v/>
      </c>
      <c r="W446">
        <f>IF(Q446="Y",J446*K446*Escalation!$B$7,0)</f>
        <v/>
      </c>
      <c r="X446">
        <f>SUM(R446:W446)</f>
        <v/>
      </c>
    </row>
    <row r="447">
      <c r="J447">
        <f>IF(C447="FTE",B447*1880,B447)</f>
        <v/>
      </c>
      <c r="K447">
        <f>E447*(1+F447)*(1+G447)*(1+H447)*(1+I447)</f>
        <v/>
      </c>
      <c r="R447">
        <f>IF(L447="Y",J447*K447*Escalation!$B$2,0)</f>
        <v/>
      </c>
      <c r="S447">
        <f>IF(M447="Y",J447*K447*Escalation!$B$3,0)</f>
        <v/>
      </c>
      <c r="T447">
        <f>IF(N447="Y",J447*K447*Escalation!$B$4,0)</f>
        <v/>
      </c>
      <c r="U447">
        <f>IF(O447="Y",J447*K447*Escalation!$B$5,0)</f>
        <v/>
      </c>
      <c r="V447">
        <f>IF(P447="Y",J447*K447*Escalation!$B$6,0)</f>
        <v/>
      </c>
      <c r="W447">
        <f>IF(Q447="Y",J447*K447*Escalation!$B$7,0)</f>
        <v/>
      </c>
      <c r="X447">
        <f>SUM(R447:W447)</f>
        <v/>
      </c>
    </row>
    <row r="448">
      <c r="J448">
        <f>IF(C448="FTE",B448*1880,B448)</f>
        <v/>
      </c>
      <c r="K448">
        <f>E448*(1+F448)*(1+G448)*(1+H448)*(1+I448)</f>
        <v/>
      </c>
      <c r="R448">
        <f>IF(L448="Y",J448*K448*Escalation!$B$2,0)</f>
        <v/>
      </c>
      <c r="S448">
        <f>IF(M448="Y",J448*K448*Escalation!$B$3,0)</f>
        <v/>
      </c>
      <c r="T448">
        <f>IF(N448="Y",J448*K448*Escalation!$B$4,0)</f>
        <v/>
      </c>
      <c r="U448">
        <f>IF(O448="Y",J448*K448*Escalation!$B$5,0)</f>
        <v/>
      </c>
      <c r="V448">
        <f>IF(P448="Y",J448*K448*Escalation!$B$6,0)</f>
        <v/>
      </c>
      <c r="W448">
        <f>IF(Q448="Y",J448*K448*Escalation!$B$7,0)</f>
        <v/>
      </c>
      <c r="X448">
        <f>SUM(R448:W448)</f>
        <v/>
      </c>
    </row>
    <row r="449">
      <c r="J449">
        <f>IF(C449="FTE",B449*1880,B449)</f>
        <v/>
      </c>
      <c r="K449">
        <f>E449*(1+F449)*(1+G449)*(1+H449)*(1+I449)</f>
        <v/>
      </c>
      <c r="R449">
        <f>IF(L449="Y",J449*K449*Escalation!$B$2,0)</f>
        <v/>
      </c>
      <c r="S449">
        <f>IF(M449="Y",J449*K449*Escalation!$B$3,0)</f>
        <v/>
      </c>
      <c r="T449">
        <f>IF(N449="Y",J449*K449*Escalation!$B$4,0)</f>
        <v/>
      </c>
      <c r="U449">
        <f>IF(O449="Y",J449*K449*Escalation!$B$5,0)</f>
        <v/>
      </c>
      <c r="V449">
        <f>IF(P449="Y",J449*K449*Escalation!$B$6,0)</f>
        <v/>
      </c>
      <c r="W449">
        <f>IF(Q449="Y",J449*K449*Escalation!$B$7,0)</f>
        <v/>
      </c>
      <c r="X449">
        <f>SUM(R449:W449)</f>
        <v/>
      </c>
    </row>
    <row r="450">
      <c r="J450">
        <f>IF(C450="FTE",B450*1880,B450)</f>
        <v/>
      </c>
      <c r="K450">
        <f>E450*(1+F450)*(1+G450)*(1+H450)*(1+I450)</f>
        <v/>
      </c>
      <c r="R450">
        <f>IF(L450="Y",J450*K450*Escalation!$B$2,0)</f>
        <v/>
      </c>
      <c r="S450">
        <f>IF(M450="Y",J450*K450*Escalation!$B$3,0)</f>
        <v/>
      </c>
      <c r="T450">
        <f>IF(N450="Y",J450*K450*Escalation!$B$4,0)</f>
        <v/>
      </c>
      <c r="U450">
        <f>IF(O450="Y",J450*K450*Escalation!$B$5,0)</f>
        <v/>
      </c>
      <c r="V450">
        <f>IF(P450="Y",J450*K450*Escalation!$B$6,0)</f>
        <v/>
      </c>
      <c r="W450">
        <f>IF(Q450="Y",J450*K450*Escalation!$B$7,0)</f>
        <v/>
      </c>
      <c r="X450">
        <f>SUM(R450:W450)</f>
        <v/>
      </c>
    </row>
    <row r="451">
      <c r="J451">
        <f>IF(C451="FTE",B451*1880,B451)</f>
        <v/>
      </c>
      <c r="K451">
        <f>E451*(1+F451)*(1+G451)*(1+H451)*(1+I451)</f>
        <v/>
      </c>
      <c r="R451">
        <f>IF(L451="Y",J451*K451*Escalation!$B$2,0)</f>
        <v/>
      </c>
      <c r="S451">
        <f>IF(M451="Y",J451*K451*Escalation!$B$3,0)</f>
        <v/>
      </c>
      <c r="T451">
        <f>IF(N451="Y",J451*K451*Escalation!$B$4,0)</f>
        <v/>
      </c>
      <c r="U451">
        <f>IF(O451="Y",J451*K451*Escalation!$B$5,0)</f>
        <v/>
      </c>
      <c r="V451">
        <f>IF(P451="Y",J451*K451*Escalation!$B$6,0)</f>
        <v/>
      </c>
      <c r="W451">
        <f>IF(Q451="Y",J451*K451*Escalation!$B$7,0)</f>
        <v/>
      </c>
      <c r="X451">
        <f>SUM(R451:W451)</f>
        <v/>
      </c>
    </row>
    <row r="452">
      <c r="J452">
        <f>IF(C452="FTE",B452*1880,B452)</f>
        <v/>
      </c>
      <c r="K452">
        <f>E452*(1+F452)*(1+G452)*(1+H452)*(1+I452)</f>
        <v/>
      </c>
      <c r="R452">
        <f>IF(L452="Y",J452*K452*Escalation!$B$2,0)</f>
        <v/>
      </c>
      <c r="S452">
        <f>IF(M452="Y",J452*K452*Escalation!$B$3,0)</f>
        <v/>
      </c>
      <c r="T452">
        <f>IF(N452="Y",J452*K452*Escalation!$B$4,0)</f>
        <v/>
      </c>
      <c r="U452">
        <f>IF(O452="Y",J452*K452*Escalation!$B$5,0)</f>
        <v/>
      </c>
      <c r="V452">
        <f>IF(P452="Y",J452*K452*Escalation!$B$6,0)</f>
        <v/>
      </c>
      <c r="W452">
        <f>IF(Q452="Y",J452*K452*Escalation!$B$7,0)</f>
        <v/>
      </c>
      <c r="X452">
        <f>SUM(R452:W452)</f>
        <v/>
      </c>
    </row>
    <row r="453">
      <c r="J453">
        <f>IF(C453="FTE",B453*1880,B453)</f>
        <v/>
      </c>
      <c r="K453">
        <f>E453*(1+F453)*(1+G453)*(1+H453)*(1+I453)</f>
        <v/>
      </c>
      <c r="R453">
        <f>IF(L453="Y",J453*K453*Escalation!$B$2,0)</f>
        <v/>
      </c>
      <c r="S453">
        <f>IF(M453="Y",J453*K453*Escalation!$B$3,0)</f>
        <v/>
      </c>
      <c r="T453">
        <f>IF(N453="Y",J453*K453*Escalation!$B$4,0)</f>
        <v/>
      </c>
      <c r="U453">
        <f>IF(O453="Y",J453*K453*Escalation!$B$5,0)</f>
        <v/>
      </c>
      <c r="V453">
        <f>IF(P453="Y",J453*K453*Escalation!$B$6,0)</f>
        <v/>
      </c>
      <c r="W453">
        <f>IF(Q453="Y",J453*K453*Escalation!$B$7,0)</f>
        <v/>
      </c>
      <c r="X453">
        <f>SUM(R453:W453)</f>
        <v/>
      </c>
    </row>
    <row r="454">
      <c r="J454">
        <f>IF(C454="FTE",B454*1880,B454)</f>
        <v/>
      </c>
      <c r="K454">
        <f>E454*(1+F454)*(1+G454)*(1+H454)*(1+I454)</f>
        <v/>
      </c>
      <c r="R454">
        <f>IF(L454="Y",J454*K454*Escalation!$B$2,0)</f>
        <v/>
      </c>
      <c r="S454">
        <f>IF(M454="Y",J454*K454*Escalation!$B$3,0)</f>
        <v/>
      </c>
      <c r="T454">
        <f>IF(N454="Y",J454*K454*Escalation!$B$4,0)</f>
        <v/>
      </c>
      <c r="U454">
        <f>IF(O454="Y",J454*K454*Escalation!$B$5,0)</f>
        <v/>
      </c>
      <c r="V454">
        <f>IF(P454="Y",J454*K454*Escalation!$B$6,0)</f>
        <v/>
      </c>
      <c r="W454">
        <f>IF(Q454="Y",J454*K454*Escalation!$B$7,0)</f>
        <v/>
      </c>
      <c r="X454">
        <f>SUM(R454:W454)</f>
        <v/>
      </c>
    </row>
    <row r="455">
      <c r="J455">
        <f>IF(C455="FTE",B455*1880,B455)</f>
        <v/>
      </c>
      <c r="K455">
        <f>E455*(1+F455)*(1+G455)*(1+H455)*(1+I455)</f>
        <v/>
      </c>
      <c r="R455">
        <f>IF(L455="Y",J455*K455*Escalation!$B$2,0)</f>
        <v/>
      </c>
      <c r="S455">
        <f>IF(M455="Y",J455*K455*Escalation!$B$3,0)</f>
        <v/>
      </c>
      <c r="T455">
        <f>IF(N455="Y",J455*K455*Escalation!$B$4,0)</f>
        <v/>
      </c>
      <c r="U455">
        <f>IF(O455="Y",J455*K455*Escalation!$B$5,0)</f>
        <v/>
      </c>
      <c r="V455">
        <f>IF(P455="Y",J455*K455*Escalation!$B$6,0)</f>
        <v/>
      </c>
      <c r="W455">
        <f>IF(Q455="Y",J455*K455*Escalation!$B$7,0)</f>
        <v/>
      </c>
      <c r="X455">
        <f>SUM(R455:W455)</f>
        <v/>
      </c>
    </row>
    <row r="456">
      <c r="J456">
        <f>IF(C456="FTE",B456*1880,B456)</f>
        <v/>
      </c>
      <c r="K456">
        <f>E456*(1+F456)*(1+G456)*(1+H456)*(1+I456)</f>
        <v/>
      </c>
      <c r="R456">
        <f>IF(L456="Y",J456*K456*Escalation!$B$2,0)</f>
        <v/>
      </c>
      <c r="S456">
        <f>IF(M456="Y",J456*K456*Escalation!$B$3,0)</f>
        <v/>
      </c>
      <c r="T456">
        <f>IF(N456="Y",J456*K456*Escalation!$B$4,0)</f>
        <v/>
      </c>
      <c r="U456">
        <f>IF(O456="Y",J456*K456*Escalation!$B$5,0)</f>
        <v/>
      </c>
      <c r="V456">
        <f>IF(P456="Y",J456*K456*Escalation!$B$6,0)</f>
        <v/>
      </c>
      <c r="W456">
        <f>IF(Q456="Y",J456*K456*Escalation!$B$7,0)</f>
        <v/>
      </c>
      <c r="X456">
        <f>SUM(R456:W456)</f>
        <v/>
      </c>
    </row>
    <row r="457">
      <c r="J457">
        <f>IF(C457="FTE",B457*1880,B457)</f>
        <v/>
      </c>
      <c r="K457">
        <f>E457*(1+F457)*(1+G457)*(1+H457)*(1+I457)</f>
        <v/>
      </c>
      <c r="R457">
        <f>IF(L457="Y",J457*K457*Escalation!$B$2,0)</f>
        <v/>
      </c>
      <c r="S457">
        <f>IF(M457="Y",J457*K457*Escalation!$B$3,0)</f>
        <v/>
      </c>
      <c r="T457">
        <f>IF(N457="Y",J457*K457*Escalation!$B$4,0)</f>
        <v/>
      </c>
      <c r="U457">
        <f>IF(O457="Y",J457*K457*Escalation!$B$5,0)</f>
        <v/>
      </c>
      <c r="V457">
        <f>IF(P457="Y",J457*K457*Escalation!$B$6,0)</f>
        <v/>
      </c>
      <c r="W457">
        <f>IF(Q457="Y",J457*K457*Escalation!$B$7,0)</f>
        <v/>
      </c>
      <c r="X457">
        <f>SUM(R457:W457)</f>
        <v/>
      </c>
    </row>
    <row r="458">
      <c r="J458">
        <f>IF(C458="FTE",B458*1880,B458)</f>
        <v/>
      </c>
      <c r="K458">
        <f>E458*(1+F458)*(1+G458)*(1+H458)*(1+I458)</f>
        <v/>
      </c>
      <c r="R458">
        <f>IF(L458="Y",J458*K458*Escalation!$B$2,0)</f>
        <v/>
      </c>
      <c r="S458">
        <f>IF(M458="Y",J458*K458*Escalation!$B$3,0)</f>
        <v/>
      </c>
      <c r="T458">
        <f>IF(N458="Y",J458*K458*Escalation!$B$4,0)</f>
        <v/>
      </c>
      <c r="U458">
        <f>IF(O458="Y",J458*K458*Escalation!$B$5,0)</f>
        <v/>
      </c>
      <c r="V458">
        <f>IF(P458="Y",J458*K458*Escalation!$B$6,0)</f>
        <v/>
      </c>
      <c r="W458">
        <f>IF(Q458="Y",J458*K458*Escalation!$B$7,0)</f>
        <v/>
      </c>
      <c r="X458">
        <f>SUM(R458:W458)</f>
        <v/>
      </c>
    </row>
    <row r="459">
      <c r="J459">
        <f>IF(C459="FTE",B459*1880,B459)</f>
        <v/>
      </c>
      <c r="K459">
        <f>E459*(1+F459)*(1+G459)*(1+H459)*(1+I459)</f>
        <v/>
      </c>
      <c r="R459">
        <f>IF(L459="Y",J459*K459*Escalation!$B$2,0)</f>
        <v/>
      </c>
      <c r="S459">
        <f>IF(M459="Y",J459*K459*Escalation!$B$3,0)</f>
        <v/>
      </c>
      <c r="T459">
        <f>IF(N459="Y",J459*K459*Escalation!$B$4,0)</f>
        <v/>
      </c>
      <c r="U459">
        <f>IF(O459="Y",J459*K459*Escalation!$B$5,0)</f>
        <v/>
      </c>
      <c r="V459">
        <f>IF(P459="Y",J459*K459*Escalation!$B$6,0)</f>
        <v/>
      </c>
      <c r="W459">
        <f>IF(Q459="Y",J459*K459*Escalation!$B$7,0)</f>
        <v/>
      </c>
      <c r="X459">
        <f>SUM(R459:W459)</f>
        <v/>
      </c>
    </row>
    <row r="460">
      <c r="J460">
        <f>IF(C460="FTE",B460*1880,B460)</f>
        <v/>
      </c>
      <c r="K460">
        <f>E460*(1+F460)*(1+G460)*(1+H460)*(1+I460)</f>
        <v/>
      </c>
      <c r="R460">
        <f>IF(L460="Y",J460*K460*Escalation!$B$2,0)</f>
        <v/>
      </c>
      <c r="S460">
        <f>IF(M460="Y",J460*K460*Escalation!$B$3,0)</f>
        <v/>
      </c>
      <c r="T460">
        <f>IF(N460="Y",J460*K460*Escalation!$B$4,0)</f>
        <v/>
      </c>
      <c r="U460">
        <f>IF(O460="Y",J460*K460*Escalation!$B$5,0)</f>
        <v/>
      </c>
      <c r="V460">
        <f>IF(P460="Y",J460*K460*Escalation!$B$6,0)</f>
        <v/>
      </c>
      <c r="W460">
        <f>IF(Q460="Y",J460*K460*Escalation!$B$7,0)</f>
        <v/>
      </c>
      <c r="X460">
        <f>SUM(R460:W460)</f>
        <v/>
      </c>
    </row>
    <row r="461">
      <c r="J461">
        <f>IF(C461="FTE",B461*1880,B461)</f>
        <v/>
      </c>
      <c r="K461">
        <f>E461*(1+F461)*(1+G461)*(1+H461)*(1+I461)</f>
        <v/>
      </c>
      <c r="R461">
        <f>IF(L461="Y",J461*K461*Escalation!$B$2,0)</f>
        <v/>
      </c>
      <c r="S461">
        <f>IF(M461="Y",J461*K461*Escalation!$B$3,0)</f>
        <v/>
      </c>
      <c r="T461">
        <f>IF(N461="Y",J461*K461*Escalation!$B$4,0)</f>
        <v/>
      </c>
      <c r="U461">
        <f>IF(O461="Y",J461*K461*Escalation!$B$5,0)</f>
        <v/>
      </c>
      <c r="V461">
        <f>IF(P461="Y",J461*K461*Escalation!$B$6,0)</f>
        <v/>
      </c>
      <c r="W461">
        <f>IF(Q461="Y",J461*K461*Escalation!$B$7,0)</f>
        <v/>
      </c>
      <c r="X461">
        <f>SUM(R461:W461)</f>
        <v/>
      </c>
    </row>
    <row r="462">
      <c r="J462">
        <f>IF(C462="FTE",B462*1880,B462)</f>
        <v/>
      </c>
      <c r="K462">
        <f>E462*(1+F462)*(1+G462)*(1+H462)*(1+I462)</f>
        <v/>
      </c>
      <c r="R462">
        <f>IF(L462="Y",J462*K462*Escalation!$B$2,0)</f>
        <v/>
      </c>
      <c r="S462">
        <f>IF(M462="Y",J462*K462*Escalation!$B$3,0)</f>
        <v/>
      </c>
      <c r="T462">
        <f>IF(N462="Y",J462*K462*Escalation!$B$4,0)</f>
        <v/>
      </c>
      <c r="U462">
        <f>IF(O462="Y",J462*K462*Escalation!$B$5,0)</f>
        <v/>
      </c>
      <c r="V462">
        <f>IF(P462="Y",J462*K462*Escalation!$B$6,0)</f>
        <v/>
      </c>
      <c r="W462">
        <f>IF(Q462="Y",J462*K462*Escalation!$B$7,0)</f>
        <v/>
      </c>
      <c r="X462">
        <f>SUM(R462:W462)</f>
        <v/>
      </c>
    </row>
    <row r="463">
      <c r="J463">
        <f>IF(C463="FTE",B463*1880,B463)</f>
        <v/>
      </c>
      <c r="K463">
        <f>E463*(1+F463)*(1+G463)*(1+H463)*(1+I463)</f>
        <v/>
      </c>
      <c r="R463">
        <f>IF(L463="Y",J463*K463*Escalation!$B$2,0)</f>
        <v/>
      </c>
      <c r="S463">
        <f>IF(M463="Y",J463*K463*Escalation!$B$3,0)</f>
        <v/>
      </c>
      <c r="T463">
        <f>IF(N463="Y",J463*K463*Escalation!$B$4,0)</f>
        <v/>
      </c>
      <c r="U463">
        <f>IF(O463="Y",J463*K463*Escalation!$B$5,0)</f>
        <v/>
      </c>
      <c r="V463">
        <f>IF(P463="Y",J463*K463*Escalation!$B$6,0)</f>
        <v/>
      </c>
      <c r="W463">
        <f>IF(Q463="Y",J463*K463*Escalation!$B$7,0)</f>
        <v/>
      </c>
      <c r="X463">
        <f>SUM(R463:W463)</f>
        <v/>
      </c>
    </row>
    <row r="464">
      <c r="J464">
        <f>IF(C464="FTE",B464*1880,B464)</f>
        <v/>
      </c>
      <c r="K464">
        <f>E464*(1+F464)*(1+G464)*(1+H464)*(1+I464)</f>
        <v/>
      </c>
      <c r="R464">
        <f>IF(L464="Y",J464*K464*Escalation!$B$2,0)</f>
        <v/>
      </c>
      <c r="S464">
        <f>IF(M464="Y",J464*K464*Escalation!$B$3,0)</f>
        <v/>
      </c>
      <c r="T464">
        <f>IF(N464="Y",J464*K464*Escalation!$B$4,0)</f>
        <v/>
      </c>
      <c r="U464">
        <f>IF(O464="Y",J464*K464*Escalation!$B$5,0)</f>
        <v/>
      </c>
      <c r="V464">
        <f>IF(P464="Y",J464*K464*Escalation!$B$6,0)</f>
        <v/>
      </c>
      <c r="W464">
        <f>IF(Q464="Y",J464*K464*Escalation!$B$7,0)</f>
        <v/>
      </c>
      <c r="X464">
        <f>SUM(R464:W464)</f>
        <v/>
      </c>
    </row>
    <row r="465">
      <c r="J465">
        <f>IF(C465="FTE",B465*1880,B465)</f>
        <v/>
      </c>
      <c r="K465">
        <f>E465*(1+F465)*(1+G465)*(1+H465)*(1+I465)</f>
        <v/>
      </c>
      <c r="R465">
        <f>IF(L465="Y",J465*K465*Escalation!$B$2,0)</f>
        <v/>
      </c>
      <c r="S465">
        <f>IF(M465="Y",J465*K465*Escalation!$B$3,0)</f>
        <v/>
      </c>
      <c r="T465">
        <f>IF(N465="Y",J465*K465*Escalation!$B$4,0)</f>
        <v/>
      </c>
      <c r="U465">
        <f>IF(O465="Y",J465*K465*Escalation!$B$5,0)</f>
        <v/>
      </c>
      <c r="V465">
        <f>IF(P465="Y",J465*K465*Escalation!$B$6,0)</f>
        <v/>
      </c>
      <c r="W465">
        <f>IF(Q465="Y",J465*K465*Escalation!$B$7,0)</f>
        <v/>
      </c>
      <c r="X465">
        <f>SUM(R465:W465)</f>
        <v/>
      </c>
    </row>
    <row r="466">
      <c r="J466">
        <f>IF(C466="FTE",B466*1880,B466)</f>
        <v/>
      </c>
      <c r="K466">
        <f>E466*(1+F466)*(1+G466)*(1+H466)*(1+I466)</f>
        <v/>
      </c>
      <c r="R466">
        <f>IF(L466="Y",J466*K466*Escalation!$B$2,0)</f>
        <v/>
      </c>
      <c r="S466">
        <f>IF(M466="Y",J466*K466*Escalation!$B$3,0)</f>
        <v/>
      </c>
      <c r="T466">
        <f>IF(N466="Y",J466*K466*Escalation!$B$4,0)</f>
        <v/>
      </c>
      <c r="U466">
        <f>IF(O466="Y",J466*K466*Escalation!$B$5,0)</f>
        <v/>
      </c>
      <c r="V466">
        <f>IF(P466="Y",J466*K466*Escalation!$B$6,0)</f>
        <v/>
      </c>
      <c r="W466">
        <f>IF(Q466="Y",J466*K466*Escalation!$B$7,0)</f>
        <v/>
      </c>
      <c r="X466">
        <f>SUM(R466:W466)</f>
        <v/>
      </c>
    </row>
    <row r="467">
      <c r="J467">
        <f>IF(C467="FTE",B467*1880,B467)</f>
        <v/>
      </c>
      <c r="K467">
        <f>E467*(1+F467)*(1+G467)*(1+H467)*(1+I467)</f>
        <v/>
      </c>
      <c r="R467">
        <f>IF(L467="Y",J467*K467*Escalation!$B$2,0)</f>
        <v/>
      </c>
      <c r="S467">
        <f>IF(M467="Y",J467*K467*Escalation!$B$3,0)</f>
        <v/>
      </c>
      <c r="T467">
        <f>IF(N467="Y",J467*K467*Escalation!$B$4,0)</f>
        <v/>
      </c>
      <c r="U467">
        <f>IF(O467="Y",J467*K467*Escalation!$B$5,0)</f>
        <v/>
      </c>
      <c r="V467">
        <f>IF(P467="Y",J467*K467*Escalation!$B$6,0)</f>
        <v/>
      </c>
      <c r="W467">
        <f>IF(Q467="Y",J467*K467*Escalation!$B$7,0)</f>
        <v/>
      </c>
      <c r="X467">
        <f>SUM(R467:W467)</f>
        <v/>
      </c>
    </row>
    <row r="468">
      <c r="J468">
        <f>IF(C468="FTE",B468*1880,B468)</f>
        <v/>
      </c>
      <c r="K468">
        <f>E468*(1+F468)*(1+G468)*(1+H468)*(1+I468)</f>
        <v/>
      </c>
      <c r="R468">
        <f>IF(L468="Y",J468*K468*Escalation!$B$2,0)</f>
        <v/>
      </c>
      <c r="S468">
        <f>IF(M468="Y",J468*K468*Escalation!$B$3,0)</f>
        <v/>
      </c>
      <c r="T468">
        <f>IF(N468="Y",J468*K468*Escalation!$B$4,0)</f>
        <v/>
      </c>
      <c r="U468">
        <f>IF(O468="Y",J468*K468*Escalation!$B$5,0)</f>
        <v/>
      </c>
      <c r="V468">
        <f>IF(P468="Y",J468*K468*Escalation!$B$6,0)</f>
        <v/>
      </c>
      <c r="W468">
        <f>IF(Q468="Y",J468*K468*Escalation!$B$7,0)</f>
        <v/>
      </c>
      <c r="X468">
        <f>SUM(R468:W468)</f>
        <v/>
      </c>
    </row>
    <row r="469">
      <c r="J469">
        <f>IF(C469="FTE",B469*1880,B469)</f>
        <v/>
      </c>
      <c r="K469">
        <f>E469*(1+F469)*(1+G469)*(1+H469)*(1+I469)</f>
        <v/>
      </c>
      <c r="R469">
        <f>IF(L469="Y",J469*K469*Escalation!$B$2,0)</f>
        <v/>
      </c>
      <c r="S469">
        <f>IF(M469="Y",J469*K469*Escalation!$B$3,0)</f>
        <v/>
      </c>
      <c r="T469">
        <f>IF(N469="Y",J469*K469*Escalation!$B$4,0)</f>
        <v/>
      </c>
      <c r="U469">
        <f>IF(O469="Y",J469*K469*Escalation!$B$5,0)</f>
        <v/>
      </c>
      <c r="V469">
        <f>IF(P469="Y",J469*K469*Escalation!$B$6,0)</f>
        <v/>
      </c>
      <c r="W469">
        <f>IF(Q469="Y",J469*K469*Escalation!$B$7,0)</f>
        <v/>
      </c>
      <c r="X469">
        <f>SUM(R469:W469)</f>
        <v/>
      </c>
    </row>
    <row r="470">
      <c r="J470">
        <f>IF(C470="FTE",B470*1880,B470)</f>
        <v/>
      </c>
      <c r="K470">
        <f>E470*(1+F470)*(1+G470)*(1+H470)*(1+I470)</f>
        <v/>
      </c>
      <c r="R470">
        <f>IF(L470="Y",J470*K470*Escalation!$B$2,0)</f>
        <v/>
      </c>
      <c r="S470">
        <f>IF(M470="Y",J470*K470*Escalation!$B$3,0)</f>
        <v/>
      </c>
      <c r="T470">
        <f>IF(N470="Y",J470*K470*Escalation!$B$4,0)</f>
        <v/>
      </c>
      <c r="U470">
        <f>IF(O470="Y",J470*K470*Escalation!$B$5,0)</f>
        <v/>
      </c>
      <c r="V470">
        <f>IF(P470="Y",J470*K470*Escalation!$B$6,0)</f>
        <v/>
      </c>
      <c r="W470">
        <f>IF(Q470="Y",J470*K470*Escalation!$B$7,0)</f>
        <v/>
      </c>
      <c r="X470">
        <f>SUM(R470:W470)</f>
        <v/>
      </c>
    </row>
    <row r="471">
      <c r="J471">
        <f>IF(C471="FTE",B471*1880,B471)</f>
        <v/>
      </c>
      <c r="K471">
        <f>E471*(1+F471)*(1+G471)*(1+H471)*(1+I471)</f>
        <v/>
      </c>
      <c r="R471">
        <f>IF(L471="Y",J471*K471*Escalation!$B$2,0)</f>
        <v/>
      </c>
      <c r="S471">
        <f>IF(M471="Y",J471*K471*Escalation!$B$3,0)</f>
        <v/>
      </c>
      <c r="T471">
        <f>IF(N471="Y",J471*K471*Escalation!$B$4,0)</f>
        <v/>
      </c>
      <c r="U471">
        <f>IF(O471="Y",J471*K471*Escalation!$B$5,0)</f>
        <v/>
      </c>
      <c r="V471">
        <f>IF(P471="Y",J471*K471*Escalation!$B$6,0)</f>
        <v/>
      </c>
      <c r="W471">
        <f>IF(Q471="Y",J471*K471*Escalation!$B$7,0)</f>
        <v/>
      </c>
      <c r="X471">
        <f>SUM(R471:W471)</f>
        <v/>
      </c>
    </row>
    <row r="472">
      <c r="J472">
        <f>IF(C472="FTE",B472*1880,B472)</f>
        <v/>
      </c>
      <c r="K472">
        <f>E472*(1+F472)*(1+G472)*(1+H472)*(1+I472)</f>
        <v/>
      </c>
      <c r="R472">
        <f>IF(L472="Y",J472*K472*Escalation!$B$2,0)</f>
        <v/>
      </c>
      <c r="S472">
        <f>IF(M472="Y",J472*K472*Escalation!$B$3,0)</f>
        <v/>
      </c>
      <c r="T472">
        <f>IF(N472="Y",J472*K472*Escalation!$B$4,0)</f>
        <v/>
      </c>
      <c r="U472">
        <f>IF(O472="Y",J472*K472*Escalation!$B$5,0)</f>
        <v/>
      </c>
      <c r="V472">
        <f>IF(P472="Y",J472*K472*Escalation!$B$6,0)</f>
        <v/>
      </c>
      <c r="W472">
        <f>IF(Q472="Y",J472*K472*Escalation!$B$7,0)</f>
        <v/>
      </c>
      <c r="X472">
        <f>SUM(R472:W472)</f>
        <v/>
      </c>
    </row>
    <row r="473">
      <c r="J473">
        <f>IF(C473="FTE",B473*1880,B473)</f>
        <v/>
      </c>
      <c r="K473">
        <f>E473*(1+F473)*(1+G473)*(1+H473)*(1+I473)</f>
        <v/>
      </c>
      <c r="R473">
        <f>IF(L473="Y",J473*K473*Escalation!$B$2,0)</f>
        <v/>
      </c>
      <c r="S473">
        <f>IF(M473="Y",J473*K473*Escalation!$B$3,0)</f>
        <v/>
      </c>
      <c r="T473">
        <f>IF(N473="Y",J473*K473*Escalation!$B$4,0)</f>
        <v/>
      </c>
      <c r="U473">
        <f>IF(O473="Y",J473*K473*Escalation!$B$5,0)</f>
        <v/>
      </c>
      <c r="V473">
        <f>IF(P473="Y",J473*K473*Escalation!$B$6,0)</f>
        <v/>
      </c>
      <c r="W473">
        <f>IF(Q473="Y",J473*K473*Escalation!$B$7,0)</f>
        <v/>
      </c>
      <c r="X473">
        <f>SUM(R473:W473)</f>
        <v/>
      </c>
    </row>
    <row r="474">
      <c r="J474">
        <f>IF(C474="FTE",B474*1880,B474)</f>
        <v/>
      </c>
      <c r="K474">
        <f>E474*(1+F474)*(1+G474)*(1+H474)*(1+I474)</f>
        <v/>
      </c>
      <c r="R474">
        <f>IF(L474="Y",J474*K474*Escalation!$B$2,0)</f>
        <v/>
      </c>
      <c r="S474">
        <f>IF(M474="Y",J474*K474*Escalation!$B$3,0)</f>
        <v/>
      </c>
      <c r="T474">
        <f>IF(N474="Y",J474*K474*Escalation!$B$4,0)</f>
        <v/>
      </c>
      <c r="U474">
        <f>IF(O474="Y",J474*K474*Escalation!$B$5,0)</f>
        <v/>
      </c>
      <c r="V474">
        <f>IF(P474="Y",J474*K474*Escalation!$B$6,0)</f>
        <v/>
      </c>
      <c r="W474">
        <f>IF(Q474="Y",J474*K474*Escalation!$B$7,0)</f>
        <v/>
      </c>
      <c r="X474">
        <f>SUM(R474:W474)</f>
        <v/>
      </c>
    </row>
    <row r="475">
      <c r="J475">
        <f>IF(C475="FTE",B475*1880,B475)</f>
        <v/>
      </c>
      <c r="K475">
        <f>E475*(1+F475)*(1+G475)*(1+H475)*(1+I475)</f>
        <v/>
      </c>
      <c r="R475">
        <f>IF(L475="Y",J475*K475*Escalation!$B$2,0)</f>
        <v/>
      </c>
      <c r="S475">
        <f>IF(M475="Y",J475*K475*Escalation!$B$3,0)</f>
        <v/>
      </c>
      <c r="T475">
        <f>IF(N475="Y",J475*K475*Escalation!$B$4,0)</f>
        <v/>
      </c>
      <c r="U475">
        <f>IF(O475="Y",J475*K475*Escalation!$B$5,0)</f>
        <v/>
      </c>
      <c r="V475">
        <f>IF(P475="Y",J475*K475*Escalation!$B$6,0)</f>
        <v/>
      </c>
      <c r="W475">
        <f>IF(Q475="Y",J475*K475*Escalation!$B$7,0)</f>
        <v/>
      </c>
      <c r="X475">
        <f>SUM(R475:W475)</f>
        <v/>
      </c>
    </row>
    <row r="476">
      <c r="J476">
        <f>IF(C476="FTE",B476*1880,B476)</f>
        <v/>
      </c>
      <c r="K476">
        <f>E476*(1+F476)*(1+G476)*(1+H476)*(1+I476)</f>
        <v/>
      </c>
      <c r="R476">
        <f>IF(L476="Y",J476*K476*Escalation!$B$2,0)</f>
        <v/>
      </c>
      <c r="S476">
        <f>IF(M476="Y",J476*K476*Escalation!$B$3,0)</f>
        <v/>
      </c>
      <c r="T476">
        <f>IF(N476="Y",J476*K476*Escalation!$B$4,0)</f>
        <v/>
      </c>
      <c r="U476">
        <f>IF(O476="Y",J476*K476*Escalation!$B$5,0)</f>
        <v/>
      </c>
      <c r="V476">
        <f>IF(P476="Y",J476*K476*Escalation!$B$6,0)</f>
        <v/>
      </c>
      <c r="W476">
        <f>IF(Q476="Y",J476*K476*Escalation!$B$7,0)</f>
        <v/>
      </c>
      <c r="X476">
        <f>SUM(R476:W476)</f>
        <v/>
      </c>
    </row>
    <row r="477">
      <c r="J477">
        <f>IF(C477="FTE",B477*1880,B477)</f>
        <v/>
      </c>
      <c r="K477">
        <f>E477*(1+F477)*(1+G477)*(1+H477)*(1+I477)</f>
        <v/>
      </c>
      <c r="R477">
        <f>IF(L477="Y",J477*K477*Escalation!$B$2,0)</f>
        <v/>
      </c>
      <c r="S477">
        <f>IF(M477="Y",J477*K477*Escalation!$B$3,0)</f>
        <v/>
      </c>
      <c r="T477">
        <f>IF(N477="Y",J477*K477*Escalation!$B$4,0)</f>
        <v/>
      </c>
      <c r="U477">
        <f>IF(O477="Y",J477*K477*Escalation!$B$5,0)</f>
        <v/>
      </c>
      <c r="V477">
        <f>IF(P477="Y",J477*K477*Escalation!$B$6,0)</f>
        <v/>
      </c>
      <c r="W477">
        <f>IF(Q477="Y",J477*K477*Escalation!$B$7,0)</f>
        <v/>
      </c>
      <c r="X477">
        <f>SUM(R477:W477)</f>
        <v/>
      </c>
    </row>
    <row r="478">
      <c r="J478">
        <f>IF(C478="FTE",B478*1880,B478)</f>
        <v/>
      </c>
      <c r="K478">
        <f>E478*(1+F478)*(1+G478)*(1+H478)*(1+I478)</f>
        <v/>
      </c>
      <c r="R478">
        <f>IF(L478="Y",J478*K478*Escalation!$B$2,0)</f>
        <v/>
      </c>
      <c r="S478">
        <f>IF(M478="Y",J478*K478*Escalation!$B$3,0)</f>
        <v/>
      </c>
      <c r="T478">
        <f>IF(N478="Y",J478*K478*Escalation!$B$4,0)</f>
        <v/>
      </c>
      <c r="U478">
        <f>IF(O478="Y",J478*K478*Escalation!$B$5,0)</f>
        <v/>
      </c>
      <c r="V478">
        <f>IF(P478="Y",J478*K478*Escalation!$B$6,0)</f>
        <v/>
      </c>
      <c r="W478">
        <f>IF(Q478="Y",J478*K478*Escalation!$B$7,0)</f>
        <v/>
      </c>
      <c r="X478">
        <f>SUM(R478:W478)</f>
        <v/>
      </c>
    </row>
    <row r="479">
      <c r="J479">
        <f>IF(C479="FTE",B479*1880,B479)</f>
        <v/>
      </c>
      <c r="K479">
        <f>E479*(1+F479)*(1+G479)*(1+H479)*(1+I479)</f>
        <v/>
      </c>
      <c r="R479">
        <f>IF(L479="Y",J479*K479*Escalation!$B$2,0)</f>
        <v/>
      </c>
      <c r="S479">
        <f>IF(M479="Y",J479*K479*Escalation!$B$3,0)</f>
        <v/>
      </c>
      <c r="T479">
        <f>IF(N479="Y",J479*K479*Escalation!$B$4,0)</f>
        <v/>
      </c>
      <c r="U479">
        <f>IF(O479="Y",J479*K479*Escalation!$B$5,0)</f>
        <v/>
      </c>
      <c r="V479">
        <f>IF(P479="Y",J479*K479*Escalation!$B$6,0)</f>
        <v/>
      </c>
      <c r="W479">
        <f>IF(Q479="Y",J479*K479*Escalation!$B$7,0)</f>
        <v/>
      </c>
      <c r="X479">
        <f>SUM(R479:W479)</f>
        <v/>
      </c>
    </row>
    <row r="480">
      <c r="J480">
        <f>IF(C480="FTE",B480*1880,B480)</f>
        <v/>
      </c>
      <c r="K480">
        <f>E480*(1+F480)*(1+G480)*(1+H480)*(1+I480)</f>
        <v/>
      </c>
      <c r="R480">
        <f>IF(L480="Y",J480*K480*Escalation!$B$2,0)</f>
        <v/>
      </c>
      <c r="S480">
        <f>IF(M480="Y",J480*K480*Escalation!$B$3,0)</f>
        <v/>
      </c>
      <c r="T480">
        <f>IF(N480="Y",J480*K480*Escalation!$B$4,0)</f>
        <v/>
      </c>
      <c r="U480">
        <f>IF(O480="Y",J480*K480*Escalation!$B$5,0)</f>
        <v/>
      </c>
      <c r="V480">
        <f>IF(P480="Y",J480*K480*Escalation!$B$6,0)</f>
        <v/>
      </c>
      <c r="W480">
        <f>IF(Q480="Y",J480*K480*Escalation!$B$7,0)</f>
        <v/>
      </c>
      <c r="X480">
        <f>SUM(R480:W480)</f>
        <v/>
      </c>
    </row>
    <row r="481">
      <c r="J481">
        <f>IF(C481="FTE",B481*1880,B481)</f>
        <v/>
      </c>
      <c r="K481">
        <f>E481*(1+F481)*(1+G481)*(1+H481)*(1+I481)</f>
        <v/>
      </c>
      <c r="R481">
        <f>IF(L481="Y",J481*K481*Escalation!$B$2,0)</f>
        <v/>
      </c>
      <c r="S481">
        <f>IF(M481="Y",J481*K481*Escalation!$B$3,0)</f>
        <v/>
      </c>
      <c r="T481">
        <f>IF(N481="Y",J481*K481*Escalation!$B$4,0)</f>
        <v/>
      </c>
      <c r="U481">
        <f>IF(O481="Y",J481*K481*Escalation!$B$5,0)</f>
        <v/>
      </c>
      <c r="V481">
        <f>IF(P481="Y",J481*K481*Escalation!$B$6,0)</f>
        <v/>
      </c>
      <c r="W481">
        <f>IF(Q481="Y",J481*K481*Escalation!$B$7,0)</f>
        <v/>
      </c>
      <c r="X481">
        <f>SUM(R481:W481)</f>
        <v/>
      </c>
    </row>
    <row r="482">
      <c r="J482">
        <f>IF(C482="FTE",B482*1880,B482)</f>
        <v/>
      </c>
      <c r="K482">
        <f>E482*(1+F482)*(1+G482)*(1+H482)*(1+I482)</f>
        <v/>
      </c>
      <c r="R482">
        <f>IF(L482="Y",J482*K482*Escalation!$B$2,0)</f>
        <v/>
      </c>
      <c r="S482">
        <f>IF(M482="Y",J482*K482*Escalation!$B$3,0)</f>
        <v/>
      </c>
      <c r="T482">
        <f>IF(N482="Y",J482*K482*Escalation!$B$4,0)</f>
        <v/>
      </c>
      <c r="U482">
        <f>IF(O482="Y",J482*K482*Escalation!$B$5,0)</f>
        <v/>
      </c>
      <c r="V482">
        <f>IF(P482="Y",J482*K482*Escalation!$B$6,0)</f>
        <v/>
      </c>
      <c r="W482">
        <f>IF(Q482="Y",J482*K482*Escalation!$B$7,0)</f>
        <v/>
      </c>
      <c r="X482">
        <f>SUM(R482:W482)</f>
        <v/>
      </c>
    </row>
    <row r="483">
      <c r="J483">
        <f>IF(C483="FTE",B483*1880,B483)</f>
        <v/>
      </c>
      <c r="K483">
        <f>E483*(1+F483)*(1+G483)*(1+H483)*(1+I483)</f>
        <v/>
      </c>
      <c r="R483">
        <f>IF(L483="Y",J483*K483*Escalation!$B$2,0)</f>
        <v/>
      </c>
      <c r="S483">
        <f>IF(M483="Y",J483*K483*Escalation!$B$3,0)</f>
        <v/>
      </c>
      <c r="T483">
        <f>IF(N483="Y",J483*K483*Escalation!$B$4,0)</f>
        <v/>
      </c>
      <c r="U483">
        <f>IF(O483="Y",J483*K483*Escalation!$B$5,0)</f>
        <v/>
      </c>
      <c r="V483">
        <f>IF(P483="Y",J483*K483*Escalation!$B$6,0)</f>
        <v/>
      </c>
      <c r="W483">
        <f>IF(Q483="Y",J483*K483*Escalation!$B$7,0)</f>
        <v/>
      </c>
      <c r="X483">
        <f>SUM(R483:W483)</f>
        <v/>
      </c>
    </row>
    <row r="484">
      <c r="J484">
        <f>IF(C484="FTE",B484*1880,B484)</f>
        <v/>
      </c>
      <c r="K484">
        <f>E484*(1+F484)*(1+G484)*(1+H484)*(1+I484)</f>
        <v/>
      </c>
      <c r="R484">
        <f>IF(L484="Y",J484*K484*Escalation!$B$2,0)</f>
        <v/>
      </c>
      <c r="S484">
        <f>IF(M484="Y",J484*K484*Escalation!$B$3,0)</f>
        <v/>
      </c>
      <c r="T484">
        <f>IF(N484="Y",J484*K484*Escalation!$B$4,0)</f>
        <v/>
      </c>
      <c r="U484">
        <f>IF(O484="Y",J484*K484*Escalation!$B$5,0)</f>
        <v/>
      </c>
      <c r="V484">
        <f>IF(P484="Y",J484*K484*Escalation!$B$6,0)</f>
        <v/>
      </c>
      <c r="W484">
        <f>IF(Q484="Y",J484*K484*Escalation!$B$7,0)</f>
        <v/>
      </c>
      <c r="X484">
        <f>SUM(R484:W484)</f>
        <v/>
      </c>
    </row>
    <row r="485">
      <c r="J485">
        <f>IF(C485="FTE",B485*1880,B485)</f>
        <v/>
      </c>
      <c r="K485">
        <f>E485*(1+F485)*(1+G485)*(1+H485)*(1+I485)</f>
        <v/>
      </c>
      <c r="R485">
        <f>IF(L485="Y",J485*K485*Escalation!$B$2,0)</f>
        <v/>
      </c>
      <c r="S485">
        <f>IF(M485="Y",J485*K485*Escalation!$B$3,0)</f>
        <v/>
      </c>
      <c r="T485">
        <f>IF(N485="Y",J485*K485*Escalation!$B$4,0)</f>
        <v/>
      </c>
      <c r="U485">
        <f>IF(O485="Y",J485*K485*Escalation!$B$5,0)</f>
        <v/>
      </c>
      <c r="V485">
        <f>IF(P485="Y",J485*K485*Escalation!$B$6,0)</f>
        <v/>
      </c>
      <c r="W485">
        <f>IF(Q485="Y",J485*K485*Escalation!$B$7,0)</f>
        <v/>
      </c>
      <c r="X485">
        <f>SUM(R485:W485)</f>
        <v/>
      </c>
    </row>
    <row r="486">
      <c r="J486">
        <f>IF(C486="FTE",B486*1880,B486)</f>
        <v/>
      </c>
      <c r="K486">
        <f>E486*(1+F486)*(1+G486)*(1+H486)*(1+I486)</f>
        <v/>
      </c>
      <c r="R486">
        <f>IF(L486="Y",J486*K486*Escalation!$B$2,0)</f>
        <v/>
      </c>
      <c r="S486">
        <f>IF(M486="Y",J486*K486*Escalation!$B$3,0)</f>
        <v/>
      </c>
      <c r="T486">
        <f>IF(N486="Y",J486*K486*Escalation!$B$4,0)</f>
        <v/>
      </c>
      <c r="U486">
        <f>IF(O486="Y",J486*K486*Escalation!$B$5,0)</f>
        <v/>
      </c>
      <c r="V486">
        <f>IF(P486="Y",J486*K486*Escalation!$B$6,0)</f>
        <v/>
      </c>
      <c r="W486">
        <f>IF(Q486="Y",J486*K486*Escalation!$B$7,0)</f>
        <v/>
      </c>
      <c r="X486">
        <f>SUM(R486:W486)</f>
        <v/>
      </c>
    </row>
    <row r="487">
      <c r="J487">
        <f>IF(C487="FTE",B487*1880,B487)</f>
        <v/>
      </c>
      <c r="K487">
        <f>E487*(1+F487)*(1+G487)*(1+H487)*(1+I487)</f>
        <v/>
      </c>
      <c r="R487">
        <f>IF(L487="Y",J487*K487*Escalation!$B$2,0)</f>
        <v/>
      </c>
      <c r="S487">
        <f>IF(M487="Y",J487*K487*Escalation!$B$3,0)</f>
        <v/>
      </c>
      <c r="T487">
        <f>IF(N487="Y",J487*K487*Escalation!$B$4,0)</f>
        <v/>
      </c>
      <c r="U487">
        <f>IF(O487="Y",J487*K487*Escalation!$B$5,0)</f>
        <v/>
      </c>
      <c r="V487">
        <f>IF(P487="Y",J487*K487*Escalation!$B$6,0)</f>
        <v/>
      </c>
      <c r="W487">
        <f>IF(Q487="Y",J487*K487*Escalation!$B$7,0)</f>
        <v/>
      </c>
      <c r="X487">
        <f>SUM(R487:W487)</f>
        <v/>
      </c>
    </row>
    <row r="488">
      <c r="J488">
        <f>IF(C488="FTE",B488*1880,B488)</f>
        <v/>
      </c>
      <c r="K488">
        <f>E488*(1+F488)*(1+G488)*(1+H488)*(1+I488)</f>
        <v/>
      </c>
      <c r="R488">
        <f>IF(L488="Y",J488*K488*Escalation!$B$2,0)</f>
        <v/>
      </c>
      <c r="S488">
        <f>IF(M488="Y",J488*K488*Escalation!$B$3,0)</f>
        <v/>
      </c>
      <c r="T488">
        <f>IF(N488="Y",J488*K488*Escalation!$B$4,0)</f>
        <v/>
      </c>
      <c r="U488">
        <f>IF(O488="Y",J488*K488*Escalation!$B$5,0)</f>
        <v/>
      </c>
      <c r="V488">
        <f>IF(P488="Y",J488*K488*Escalation!$B$6,0)</f>
        <v/>
      </c>
      <c r="W488">
        <f>IF(Q488="Y",J488*K488*Escalation!$B$7,0)</f>
        <v/>
      </c>
      <c r="X488">
        <f>SUM(R488:W488)</f>
        <v/>
      </c>
    </row>
    <row r="489">
      <c r="J489">
        <f>IF(C489="FTE",B489*1880,B489)</f>
        <v/>
      </c>
      <c r="K489">
        <f>E489*(1+F489)*(1+G489)*(1+H489)*(1+I489)</f>
        <v/>
      </c>
      <c r="R489">
        <f>IF(L489="Y",J489*K489*Escalation!$B$2,0)</f>
        <v/>
      </c>
      <c r="S489">
        <f>IF(M489="Y",J489*K489*Escalation!$B$3,0)</f>
        <v/>
      </c>
      <c r="T489">
        <f>IF(N489="Y",J489*K489*Escalation!$B$4,0)</f>
        <v/>
      </c>
      <c r="U489">
        <f>IF(O489="Y",J489*K489*Escalation!$B$5,0)</f>
        <v/>
      </c>
      <c r="V489">
        <f>IF(P489="Y",J489*K489*Escalation!$B$6,0)</f>
        <v/>
      </c>
      <c r="W489">
        <f>IF(Q489="Y",J489*K489*Escalation!$B$7,0)</f>
        <v/>
      </c>
      <c r="X489">
        <f>SUM(R489:W489)</f>
        <v/>
      </c>
    </row>
    <row r="490">
      <c r="J490">
        <f>IF(C490="FTE",B490*1880,B490)</f>
        <v/>
      </c>
      <c r="K490">
        <f>E490*(1+F490)*(1+G490)*(1+H490)*(1+I490)</f>
        <v/>
      </c>
      <c r="R490">
        <f>IF(L490="Y",J490*K490*Escalation!$B$2,0)</f>
        <v/>
      </c>
      <c r="S490">
        <f>IF(M490="Y",J490*K490*Escalation!$B$3,0)</f>
        <v/>
      </c>
      <c r="T490">
        <f>IF(N490="Y",J490*K490*Escalation!$B$4,0)</f>
        <v/>
      </c>
      <c r="U490">
        <f>IF(O490="Y",J490*K490*Escalation!$B$5,0)</f>
        <v/>
      </c>
      <c r="V490">
        <f>IF(P490="Y",J490*K490*Escalation!$B$6,0)</f>
        <v/>
      </c>
      <c r="W490">
        <f>IF(Q490="Y",J490*K490*Escalation!$B$7,0)</f>
        <v/>
      </c>
      <c r="X490">
        <f>SUM(R490:W490)</f>
        <v/>
      </c>
    </row>
    <row r="491">
      <c r="J491">
        <f>IF(C491="FTE",B491*1880,B491)</f>
        <v/>
      </c>
      <c r="K491">
        <f>E491*(1+F491)*(1+G491)*(1+H491)*(1+I491)</f>
        <v/>
      </c>
      <c r="R491">
        <f>IF(L491="Y",J491*K491*Escalation!$B$2,0)</f>
        <v/>
      </c>
      <c r="S491">
        <f>IF(M491="Y",J491*K491*Escalation!$B$3,0)</f>
        <v/>
      </c>
      <c r="T491">
        <f>IF(N491="Y",J491*K491*Escalation!$B$4,0)</f>
        <v/>
      </c>
      <c r="U491">
        <f>IF(O491="Y",J491*K491*Escalation!$B$5,0)</f>
        <v/>
      </c>
      <c r="V491">
        <f>IF(P491="Y",J491*K491*Escalation!$B$6,0)</f>
        <v/>
      </c>
      <c r="W491">
        <f>IF(Q491="Y",J491*K491*Escalation!$B$7,0)</f>
        <v/>
      </c>
      <c r="X491">
        <f>SUM(R491:W491)</f>
        <v/>
      </c>
    </row>
    <row r="492">
      <c r="J492">
        <f>IF(C492="FTE",B492*1880,B492)</f>
        <v/>
      </c>
      <c r="K492">
        <f>E492*(1+F492)*(1+G492)*(1+H492)*(1+I492)</f>
        <v/>
      </c>
      <c r="R492">
        <f>IF(L492="Y",J492*K492*Escalation!$B$2,0)</f>
        <v/>
      </c>
      <c r="S492">
        <f>IF(M492="Y",J492*K492*Escalation!$B$3,0)</f>
        <v/>
      </c>
      <c r="T492">
        <f>IF(N492="Y",J492*K492*Escalation!$B$4,0)</f>
        <v/>
      </c>
      <c r="U492">
        <f>IF(O492="Y",J492*K492*Escalation!$B$5,0)</f>
        <v/>
      </c>
      <c r="V492">
        <f>IF(P492="Y",J492*K492*Escalation!$B$6,0)</f>
        <v/>
      </c>
      <c r="W492">
        <f>IF(Q492="Y",J492*K492*Escalation!$B$7,0)</f>
        <v/>
      </c>
      <c r="X492">
        <f>SUM(R492:W492)</f>
        <v/>
      </c>
    </row>
    <row r="493">
      <c r="J493">
        <f>IF(C493="FTE",B493*1880,B493)</f>
        <v/>
      </c>
      <c r="K493">
        <f>E493*(1+F493)*(1+G493)*(1+H493)*(1+I493)</f>
        <v/>
      </c>
      <c r="R493">
        <f>IF(L493="Y",J493*K493*Escalation!$B$2,0)</f>
        <v/>
      </c>
      <c r="S493">
        <f>IF(M493="Y",J493*K493*Escalation!$B$3,0)</f>
        <v/>
      </c>
      <c r="T493">
        <f>IF(N493="Y",J493*K493*Escalation!$B$4,0)</f>
        <v/>
      </c>
      <c r="U493">
        <f>IF(O493="Y",J493*K493*Escalation!$B$5,0)</f>
        <v/>
      </c>
      <c r="V493">
        <f>IF(P493="Y",J493*K493*Escalation!$B$6,0)</f>
        <v/>
      </c>
      <c r="W493">
        <f>IF(Q493="Y",J493*K493*Escalation!$B$7,0)</f>
        <v/>
      </c>
      <c r="X493">
        <f>SUM(R493:W493)</f>
        <v/>
      </c>
    </row>
    <row r="494">
      <c r="J494">
        <f>IF(C494="FTE",B494*1880,B494)</f>
        <v/>
      </c>
      <c r="K494">
        <f>E494*(1+F494)*(1+G494)*(1+H494)*(1+I494)</f>
        <v/>
      </c>
      <c r="R494">
        <f>IF(L494="Y",J494*K494*Escalation!$B$2,0)</f>
        <v/>
      </c>
      <c r="S494">
        <f>IF(M494="Y",J494*K494*Escalation!$B$3,0)</f>
        <v/>
      </c>
      <c r="T494">
        <f>IF(N494="Y",J494*K494*Escalation!$B$4,0)</f>
        <v/>
      </c>
      <c r="U494">
        <f>IF(O494="Y",J494*K494*Escalation!$B$5,0)</f>
        <v/>
      </c>
      <c r="V494">
        <f>IF(P494="Y",J494*K494*Escalation!$B$6,0)</f>
        <v/>
      </c>
      <c r="W494">
        <f>IF(Q494="Y",J494*K494*Escalation!$B$7,0)</f>
        <v/>
      </c>
      <c r="X494">
        <f>SUM(R494:W494)</f>
        <v/>
      </c>
    </row>
    <row r="495">
      <c r="J495">
        <f>IF(C495="FTE",B495*1880,B495)</f>
        <v/>
      </c>
      <c r="K495">
        <f>E495*(1+F495)*(1+G495)*(1+H495)*(1+I495)</f>
        <v/>
      </c>
      <c r="R495">
        <f>IF(L495="Y",J495*K495*Escalation!$B$2,0)</f>
        <v/>
      </c>
      <c r="S495">
        <f>IF(M495="Y",J495*K495*Escalation!$B$3,0)</f>
        <v/>
      </c>
      <c r="T495">
        <f>IF(N495="Y",J495*K495*Escalation!$B$4,0)</f>
        <v/>
      </c>
      <c r="U495">
        <f>IF(O495="Y",J495*K495*Escalation!$B$5,0)</f>
        <v/>
      </c>
      <c r="V495">
        <f>IF(P495="Y",J495*K495*Escalation!$B$6,0)</f>
        <v/>
      </c>
      <c r="W495">
        <f>IF(Q495="Y",J495*K495*Escalation!$B$7,0)</f>
        <v/>
      </c>
      <c r="X495">
        <f>SUM(R495:W495)</f>
        <v/>
      </c>
    </row>
    <row r="496">
      <c r="J496">
        <f>IF(C496="FTE",B496*1880,B496)</f>
        <v/>
      </c>
      <c r="K496">
        <f>E496*(1+F496)*(1+G496)*(1+H496)*(1+I496)</f>
        <v/>
      </c>
      <c r="R496">
        <f>IF(L496="Y",J496*K496*Escalation!$B$2,0)</f>
        <v/>
      </c>
      <c r="S496">
        <f>IF(M496="Y",J496*K496*Escalation!$B$3,0)</f>
        <v/>
      </c>
      <c r="T496">
        <f>IF(N496="Y",J496*K496*Escalation!$B$4,0)</f>
        <v/>
      </c>
      <c r="U496">
        <f>IF(O496="Y",J496*K496*Escalation!$B$5,0)</f>
        <v/>
      </c>
      <c r="V496">
        <f>IF(P496="Y",J496*K496*Escalation!$B$6,0)</f>
        <v/>
      </c>
      <c r="W496">
        <f>IF(Q496="Y",J496*K496*Escalation!$B$7,0)</f>
        <v/>
      </c>
      <c r="X496">
        <f>SUM(R496:W496)</f>
        <v/>
      </c>
    </row>
    <row r="497">
      <c r="J497">
        <f>IF(C497="FTE",B497*1880,B497)</f>
        <v/>
      </c>
      <c r="K497">
        <f>E497*(1+F497)*(1+G497)*(1+H497)*(1+I497)</f>
        <v/>
      </c>
      <c r="R497">
        <f>IF(L497="Y",J497*K497*Escalation!$B$2,0)</f>
        <v/>
      </c>
      <c r="S497">
        <f>IF(M497="Y",J497*K497*Escalation!$B$3,0)</f>
        <v/>
      </c>
      <c r="T497">
        <f>IF(N497="Y",J497*K497*Escalation!$B$4,0)</f>
        <v/>
      </c>
      <c r="U497">
        <f>IF(O497="Y",J497*K497*Escalation!$B$5,0)</f>
        <v/>
      </c>
      <c r="V497">
        <f>IF(P497="Y",J497*K497*Escalation!$B$6,0)</f>
        <v/>
      </c>
      <c r="W497">
        <f>IF(Q497="Y",J497*K497*Escalation!$B$7,0)</f>
        <v/>
      </c>
      <c r="X497">
        <f>SUM(R497:W497)</f>
        <v/>
      </c>
    </row>
    <row r="498">
      <c r="J498">
        <f>IF(C498="FTE",B498*1880,B498)</f>
        <v/>
      </c>
      <c r="K498">
        <f>E498*(1+F498)*(1+G498)*(1+H498)*(1+I498)</f>
        <v/>
      </c>
      <c r="R498">
        <f>IF(L498="Y",J498*K498*Escalation!$B$2,0)</f>
        <v/>
      </c>
      <c r="S498">
        <f>IF(M498="Y",J498*K498*Escalation!$B$3,0)</f>
        <v/>
      </c>
      <c r="T498">
        <f>IF(N498="Y",J498*K498*Escalation!$B$4,0)</f>
        <v/>
      </c>
      <c r="U498">
        <f>IF(O498="Y",J498*K498*Escalation!$B$5,0)</f>
        <v/>
      </c>
      <c r="V498">
        <f>IF(P498="Y",J498*K498*Escalation!$B$6,0)</f>
        <v/>
      </c>
      <c r="W498">
        <f>IF(Q498="Y",J498*K498*Escalation!$B$7,0)</f>
        <v/>
      </c>
      <c r="X498">
        <f>SUM(R498:W498)</f>
        <v/>
      </c>
    </row>
    <row r="499">
      <c r="J499">
        <f>IF(C499="FTE",B499*1880,B499)</f>
        <v/>
      </c>
      <c r="K499">
        <f>E499*(1+F499)*(1+G499)*(1+H499)*(1+I499)</f>
        <v/>
      </c>
      <c r="R499">
        <f>IF(L499="Y",J499*K499*Escalation!$B$2,0)</f>
        <v/>
      </c>
      <c r="S499">
        <f>IF(M499="Y",J499*K499*Escalation!$B$3,0)</f>
        <v/>
      </c>
      <c r="T499">
        <f>IF(N499="Y",J499*K499*Escalation!$B$4,0)</f>
        <v/>
      </c>
      <c r="U499">
        <f>IF(O499="Y",J499*K499*Escalation!$B$5,0)</f>
        <v/>
      </c>
      <c r="V499">
        <f>IF(P499="Y",J499*K499*Escalation!$B$6,0)</f>
        <v/>
      </c>
      <c r="W499">
        <f>IF(Q499="Y",J499*K499*Escalation!$B$7,0)</f>
        <v/>
      </c>
      <c r="X499">
        <f>SUM(R499:W499)</f>
        <v/>
      </c>
    </row>
    <row r="500">
      <c r="J500">
        <f>IF(C500="FTE",B500*1880,B500)</f>
        <v/>
      </c>
      <c r="K500">
        <f>E500*(1+F500)*(1+G500)*(1+H500)*(1+I500)</f>
        <v/>
      </c>
      <c r="R500">
        <f>IF(L500="Y",J500*K500*Escalation!$B$2,0)</f>
        <v/>
      </c>
      <c r="S500">
        <f>IF(M500="Y",J500*K500*Escalation!$B$3,0)</f>
        <v/>
      </c>
      <c r="T500">
        <f>IF(N500="Y",J500*K500*Escalation!$B$4,0)</f>
        <v/>
      </c>
      <c r="U500">
        <f>IF(O500="Y",J500*K500*Escalation!$B$5,0)</f>
        <v/>
      </c>
      <c r="V500">
        <f>IF(P500="Y",J500*K500*Escalation!$B$6,0)</f>
        <v/>
      </c>
      <c r="W500">
        <f>IF(Q500="Y",J500*K500*Escalation!$B$7,0)</f>
        <v/>
      </c>
      <c r="X500">
        <f>SUM(R500:W500)</f>
        <v/>
      </c>
    </row>
    <row r="501">
      <c r="J501">
        <f>IF(C501="FTE",B501*1880,B501)</f>
        <v/>
      </c>
      <c r="K501">
        <f>E501*(1+F501)*(1+G501)*(1+H501)*(1+I501)</f>
        <v/>
      </c>
      <c r="R501">
        <f>IF(L501="Y",J501*K501*Escalation!$B$2,0)</f>
        <v/>
      </c>
      <c r="S501">
        <f>IF(M501="Y",J501*K501*Escalation!$B$3,0)</f>
        <v/>
      </c>
      <c r="T501">
        <f>IF(N501="Y",J501*K501*Escalation!$B$4,0)</f>
        <v/>
      </c>
      <c r="U501">
        <f>IF(O501="Y",J501*K501*Escalation!$B$5,0)</f>
        <v/>
      </c>
      <c r="V501">
        <f>IF(P501="Y",J501*K501*Escalation!$B$6,0)</f>
        <v/>
      </c>
      <c r="W501">
        <f>IF(Q501="Y",J501*K501*Escalation!$B$7,0)</f>
        <v/>
      </c>
      <c r="X501">
        <f>SUM(R501:W501)</f>
        <v/>
      </c>
    </row>
  </sheetData>
  <dataValidations count="2">
    <dataValidation sqref="C2:C500" showErrorMessage="1" showInputMessage="1" allowBlank="1" type="list">
      <formula1>"FTE,Hr"</formula1>
    </dataValidation>
    <dataValidation sqref="L2:Q500" showErrorMessage="1" showInputMessage="1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Unit</t>
        </is>
      </c>
      <c r="D1" s="1" t="inlineStr">
        <is>
          <t>Unit_Price</t>
        </is>
      </c>
      <c r="E1" s="1" t="inlineStr">
        <is>
          <t>Inc_Base</t>
        </is>
      </c>
      <c r="F1" s="1" t="inlineStr">
        <is>
          <t>Inc_OY1</t>
        </is>
      </c>
      <c r="G1" s="1" t="inlineStr">
        <is>
          <t>Inc_OY2</t>
        </is>
      </c>
      <c r="H1" s="1" t="inlineStr">
        <is>
          <t>Inc_OY3</t>
        </is>
      </c>
      <c r="I1" s="1" t="inlineStr">
        <is>
          <t>Inc_OY4</t>
        </is>
      </c>
      <c r="J1" s="1" t="inlineStr">
        <is>
          <t>Inc_OY5</t>
        </is>
      </c>
      <c r="K1" s="1" t="inlineStr">
        <is>
          <t>Base</t>
        </is>
      </c>
      <c r="L1" s="1" t="inlineStr">
        <is>
          <t>OY1</t>
        </is>
      </c>
      <c r="M1" s="1" t="inlineStr">
        <is>
          <t>OY2</t>
        </is>
      </c>
      <c r="N1" s="1" t="inlineStr">
        <is>
          <t>OY3</t>
        </is>
      </c>
      <c r="O1" s="1" t="inlineStr">
        <is>
          <t>OY4</t>
        </is>
      </c>
      <c r="P1" s="1" t="inlineStr">
        <is>
          <t>OY5</t>
        </is>
      </c>
      <c r="Q1" s="1" t="inlineStr">
        <is>
          <t>Notes</t>
        </is>
      </c>
      <c r="R1" s="1" t="inlineStr">
        <is>
          <t>Total</t>
        </is>
      </c>
    </row>
    <row r="2">
      <c r="K2">
        <f>IF(E2="Y",B2*D2*Escalation!$B$2,0)</f>
        <v/>
      </c>
      <c r="L2">
        <f>IF(F2="Y",B2*D2*Escalation!$B$3,0)</f>
        <v/>
      </c>
      <c r="M2">
        <f>IF(G2="Y",B2*D2*Escalation!$B$4,0)</f>
        <v/>
      </c>
      <c r="N2">
        <f>IF(H2="Y",B2*D2*Escalation!$B$5,0)</f>
        <v/>
      </c>
      <c r="O2">
        <f>IF(I2="Y",B2*D2*Escalation!$B$6,0)</f>
        <v/>
      </c>
      <c r="P2">
        <f>IF(J2="Y",B2*D2*Escalation!$B$7,0)</f>
        <v/>
      </c>
      <c r="R2">
        <f>SUM(K2:P2)</f>
        <v/>
      </c>
    </row>
    <row r="3">
      <c r="K3">
        <f>IF(E3="Y",B3*D3*Escalation!$B$2,0)</f>
        <v/>
      </c>
      <c r="L3">
        <f>IF(F3="Y",B3*D3*Escalation!$B$3,0)</f>
        <v/>
      </c>
      <c r="M3">
        <f>IF(G3="Y",B3*D3*Escalation!$B$4,0)</f>
        <v/>
      </c>
      <c r="N3">
        <f>IF(H3="Y",B3*D3*Escalation!$B$5,0)</f>
        <v/>
      </c>
      <c r="O3">
        <f>IF(I3="Y",B3*D3*Escalation!$B$6,0)</f>
        <v/>
      </c>
      <c r="P3">
        <f>IF(J3="Y",B3*D3*Escalation!$B$7,0)</f>
        <v/>
      </c>
      <c r="R3">
        <f>SUM(K3:P3)</f>
        <v/>
      </c>
    </row>
    <row r="4">
      <c r="K4">
        <f>IF(E4="Y",B4*D4*Escalation!$B$2,0)</f>
        <v/>
      </c>
      <c r="L4">
        <f>IF(F4="Y",B4*D4*Escalation!$B$3,0)</f>
        <v/>
      </c>
      <c r="M4">
        <f>IF(G4="Y",B4*D4*Escalation!$B$4,0)</f>
        <v/>
      </c>
      <c r="N4">
        <f>IF(H4="Y",B4*D4*Escalation!$B$5,0)</f>
        <v/>
      </c>
      <c r="O4">
        <f>IF(I4="Y",B4*D4*Escalation!$B$6,0)</f>
        <v/>
      </c>
      <c r="P4">
        <f>IF(J4="Y",B4*D4*Escalation!$B$7,0)</f>
        <v/>
      </c>
      <c r="R4">
        <f>SUM(K4:P4)</f>
        <v/>
      </c>
    </row>
    <row r="5">
      <c r="K5">
        <f>IF(E5="Y",B5*D5*Escalation!$B$2,0)</f>
        <v/>
      </c>
      <c r="L5">
        <f>IF(F5="Y",B5*D5*Escalation!$B$3,0)</f>
        <v/>
      </c>
      <c r="M5">
        <f>IF(G5="Y",B5*D5*Escalation!$B$4,0)</f>
        <v/>
      </c>
      <c r="N5">
        <f>IF(H5="Y",B5*D5*Escalation!$B$5,0)</f>
        <v/>
      </c>
      <c r="O5">
        <f>IF(I5="Y",B5*D5*Escalation!$B$6,0)</f>
        <v/>
      </c>
      <c r="P5">
        <f>IF(J5="Y",B5*D5*Escalation!$B$7,0)</f>
        <v/>
      </c>
      <c r="R5">
        <f>SUM(K5:P5)</f>
        <v/>
      </c>
    </row>
    <row r="6">
      <c r="K6">
        <f>IF(E6="Y",B6*D6*Escalation!$B$2,0)</f>
        <v/>
      </c>
      <c r="L6">
        <f>IF(F6="Y",B6*D6*Escalation!$B$3,0)</f>
        <v/>
      </c>
      <c r="M6">
        <f>IF(G6="Y",B6*D6*Escalation!$B$4,0)</f>
        <v/>
      </c>
      <c r="N6">
        <f>IF(H6="Y",B6*D6*Escalation!$B$5,0)</f>
        <v/>
      </c>
      <c r="O6">
        <f>IF(I6="Y",B6*D6*Escalation!$B$6,0)</f>
        <v/>
      </c>
      <c r="P6">
        <f>IF(J6="Y",B6*D6*Escalation!$B$7,0)</f>
        <v/>
      </c>
      <c r="R6">
        <f>SUM(K6:P6)</f>
        <v/>
      </c>
    </row>
    <row r="7">
      <c r="K7">
        <f>IF(E7="Y",B7*D7*Escalation!$B$2,0)</f>
        <v/>
      </c>
      <c r="L7">
        <f>IF(F7="Y",B7*D7*Escalation!$B$3,0)</f>
        <v/>
      </c>
      <c r="M7">
        <f>IF(G7="Y",B7*D7*Escalation!$B$4,0)</f>
        <v/>
      </c>
      <c r="N7">
        <f>IF(H7="Y",B7*D7*Escalation!$B$5,0)</f>
        <v/>
      </c>
      <c r="O7">
        <f>IF(I7="Y",B7*D7*Escalation!$B$6,0)</f>
        <v/>
      </c>
      <c r="P7">
        <f>IF(J7="Y",B7*D7*Escalation!$B$7,0)</f>
        <v/>
      </c>
      <c r="R7">
        <f>SUM(K7:P7)</f>
        <v/>
      </c>
    </row>
    <row r="8">
      <c r="K8">
        <f>IF(E8="Y",B8*D8*Escalation!$B$2,0)</f>
        <v/>
      </c>
      <c r="L8">
        <f>IF(F8="Y",B8*D8*Escalation!$B$3,0)</f>
        <v/>
      </c>
      <c r="M8">
        <f>IF(G8="Y",B8*D8*Escalation!$B$4,0)</f>
        <v/>
      </c>
      <c r="N8">
        <f>IF(H8="Y",B8*D8*Escalation!$B$5,0)</f>
        <v/>
      </c>
      <c r="O8">
        <f>IF(I8="Y",B8*D8*Escalation!$B$6,0)</f>
        <v/>
      </c>
      <c r="P8">
        <f>IF(J8="Y",B8*D8*Escalation!$B$7,0)</f>
        <v/>
      </c>
      <c r="R8">
        <f>SUM(K8:P8)</f>
        <v/>
      </c>
    </row>
    <row r="9">
      <c r="K9">
        <f>IF(E9="Y",B9*D9*Escalation!$B$2,0)</f>
        <v/>
      </c>
      <c r="L9">
        <f>IF(F9="Y",B9*D9*Escalation!$B$3,0)</f>
        <v/>
      </c>
      <c r="M9">
        <f>IF(G9="Y",B9*D9*Escalation!$B$4,0)</f>
        <v/>
      </c>
      <c r="N9">
        <f>IF(H9="Y",B9*D9*Escalation!$B$5,0)</f>
        <v/>
      </c>
      <c r="O9">
        <f>IF(I9="Y",B9*D9*Escalation!$B$6,0)</f>
        <v/>
      </c>
      <c r="P9">
        <f>IF(J9="Y",B9*D9*Escalation!$B$7,0)</f>
        <v/>
      </c>
      <c r="R9">
        <f>SUM(K9:P9)</f>
        <v/>
      </c>
    </row>
    <row r="10">
      <c r="K10">
        <f>IF(E10="Y",B10*D10*Escalation!$B$2,0)</f>
        <v/>
      </c>
      <c r="L10">
        <f>IF(F10="Y",B10*D10*Escalation!$B$3,0)</f>
        <v/>
      </c>
      <c r="M10">
        <f>IF(G10="Y",B10*D10*Escalation!$B$4,0)</f>
        <v/>
      </c>
      <c r="N10">
        <f>IF(H10="Y",B10*D10*Escalation!$B$5,0)</f>
        <v/>
      </c>
      <c r="O10">
        <f>IF(I10="Y",B10*D10*Escalation!$B$6,0)</f>
        <v/>
      </c>
      <c r="P10">
        <f>IF(J10="Y",B10*D10*Escalation!$B$7,0)</f>
        <v/>
      </c>
      <c r="R10">
        <f>SUM(K10:P10)</f>
        <v/>
      </c>
    </row>
    <row r="11">
      <c r="K11">
        <f>IF(E11="Y",B11*D11*Escalation!$B$2,0)</f>
        <v/>
      </c>
      <c r="L11">
        <f>IF(F11="Y",B11*D11*Escalation!$B$3,0)</f>
        <v/>
      </c>
      <c r="M11">
        <f>IF(G11="Y",B11*D11*Escalation!$B$4,0)</f>
        <v/>
      </c>
      <c r="N11">
        <f>IF(H11="Y",B11*D11*Escalation!$B$5,0)</f>
        <v/>
      </c>
      <c r="O11">
        <f>IF(I11="Y",B11*D11*Escalation!$B$6,0)</f>
        <v/>
      </c>
      <c r="P11">
        <f>IF(J11="Y",B11*D11*Escalation!$B$7,0)</f>
        <v/>
      </c>
      <c r="R11">
        <f>SUM(K11:P11)</f>
        <v/>
      </c>
    </row>
    <row r="12">
      <c r="K12">
        <f>IF(E12="Y",B12*D12*Escalation!$B$2,0)</f>
        <v/>
      </c>
      <c r="L12">
        <f>IF(F12="Y",B12*D12*Escalation!$B$3,0)</f>
        <v/>
      </c>
      <c r="M12">
        <f>IF(G12="Y",B12*D12*Escalation!$B$4,0)</f>
        <v/>
      </c>
      <c r="N12">
        <f>IF(H12="Y",B12*D12*Escalation!$B$5,0)</f>
        <v/>
      </c>
      <c r="O12">
        <f>IF(I12="Y",B12*D12*Escalation!$B$6,0)</f>
        <v/>
      </c>
      <c r="P12">
        <f>IF(J12="Y",B12*D12*Escalation!$B$7,0)</f>
        <v/>
      </c>
      <c r="R12">
        <f>SUM(K12:P12)</f>
        <v/>
      </c>
    </row>
    <row r="13">
      <c r="K13">
        <f>IF(E13="Y",B13*D13*Escalation!$B$2,0)</f>
        <v/>
      </c>
      <c r="L13">
        <f>IF(F13="Y",B13*D13*Escalation!$B$3,0)</f>
        <v/>
      </c>
      <c r="M13">
        <f>IF(G13="Y",B13*D13*Escalation!$B$4,0)</f>
        <v/>
      </c>
      <c r="N13">
        <f>IF(H13="Y",B13*D13*Escalation!$B$5,0)</f>
        <v/>
      </c>
      <c r="O13">
        <f>IF(I13="Y",B13*D13*Escalation!$B$6,0)</f>
        <v/>
      </c>
      <c r="P13">
        <f>IF(J13="Y",B13*D13*Escalation!$B$7,0)</f>
        <v/>
      </c>
      <c r="R13">
        <f>SUM(K13:P13)</f>
        <v/>
      </c>
    </row>
    <row r="14">
      <c r="K14">
        <f>IF(E14="Y",B14*D14*Escalation!$B$2,0)</f>
        <v/>
      </c>
      <c r="L14">
        <f>IF(F14="Y",B14*D14*Escalation!$B$3,0)</f>
        <v/>
      </c>
      <c r="M14">
        <f>IF(G14="Y",B14*D14*Escalation!$B$4,0)</f>
        <v/>
      </c>
      <c r="N14">
        <f>IF(H14="Y",B14*D14*Escalation!$B$5,0)</f>
        <v/>
      </c>
      <c r="O14">
        <f>IF(I14="Y",B14*D14*Escalation!$B$6,0)</f>
        <v/>
      </c>
      <c r="P14">
        <f>IF(J14="Y",B14*D14*Escalation!$B$7,0)</f>
        <v/>
      </c>
      <c r="R14">
        <f>SUM(K14:P14)</f>
        <v/>
      </c>
    </row>
    <row r="15">
      <c r="K15">
        <f>IF(E15="Y",B15*D15*Escalation!$B$2,0)</f>
        <v/>
      </c>
      <c r="L15">
        <f>IF(F15="Y",B15*D15*Escalation!$B$3,0)</f>
        <v/>
      </c>
      <c r="M15">
        <f>IF(G15="Y",B15*D15*Escalation!$B$4,0)</f>
        <v/>
      </c>
      <c r="N15">
        <f>IF(H15="Y",B15*D15*Escalation!$B$5,0)</f>
        <v/>
      </c>
      <c r="O15">
        <f>IF(I15="Y",B15*D15*Escalation!$B$6,0)</f>
        <v/>
      </c>
      <c r="P15">
        <f>IF(J15="Y",B15*D15*Escalation!$B$7,0)</f>
        <v/>
      </c>
      <c r="R15">
        <f>SUM(K15:P15)</f>
        <v/>
      </c>
    </row>
    <row r="16">
      <c r="K16">
        <f>IF(E16="Y",B16*D16*Escalation!$B$2,0)</f>
        <v/>
      </c>
      <c r="L16">
        <f>IF(F16="Y",B16*D16*Escalation!$B$3,0)</f>
        <v/>
      </c>
      <c r="M16">
        <f>IF(G16="Y",B16*D16*Escalation!$B$4,0)</f>
        <v/>
      </c>
      <c r="N16">
        <f>IF(H16="Y",B16*D16*Escalation!$B$5,0)</f>
        <v/>
      </c>
      <c r="O16">
        <f>IF(I16="Y",B16*D16*Escalation!$B$6,0)</f>
        <v/>
      </c>
      <c r="P16">
        <f>IF(J16="Y",B16*D16*Escalation!$B$7,0)</f>
        <v/>
      </c>
      <c r="R16">
        <f>SUM(K16:P16)</f>
        <v/>
      </c>
    </row>
    <row r="17">
      <c r="K17">
        <f>IF(E17="Y",B17*D17*Escalation!$B$2,0)</f>
        <v/>
      </c>
      <c r="L17">
        <f>IF(F17="Y",B17*D17*Escalation!$B$3,0)</f>
        <v/>
      </c>
      <c r="M17">
        <f>IF(G17="Y",B17*D17*Escalation!$B$4,0)</f>
        <v/>
      </c>
      <c r="N17">
        <f>IF(H17="Y",B17*D17*Escalation!$B$5,0)</f>
        <v/>
      </c>
      <c r="O17">
        <f>IF(I17="Y",B17*D17*Escalation!$B$6,0)</f>
        <v/>
      </c>
      <c r="P17">
        <f>IF(J17="Y",B17*D17*Escalation!$B$7,0)</f>
        <v/>
      </c>
      <c r="R17">
        <f>SUM(K17:P17)</f>
        <v/>
      </c>
    </row>
    <row r="18">
      <c r="K18">
        <f>IF(E18="Y",B18*D18*Escalation!$B$2,0)</f>
        <v/>
      </c>
      <c r="L18">
        <f>IF(F18="Y",B18*D18*Escalation!$B$3,0)</f>
        <v/>
      </c>
      <c r="M18">
        <f>IF(G18="Y",B18*D18*Escalation!$B$4,0)</f>
        <v/>
      </c>
      <c r="N18">
        <f>IF(H18="Y",B18*D18*Escalation!$B$5,0)</f>
        <v/>
      </c>
      <c r="O18">
        <f>IF(I18="Y",B18*D18*Escalation!$B$6,0)</f>
        <v/>
      </c>
      <c r="P18">
        <f>IF(J18="Y",B18*D18*Escalation!$B$7,0)</f>
        <v/>
      </c>
      <c r="R18">
        <f>SUM(K18:P18)</f>
        <v/>
      </c>
    </row>
    <row r="19">
      <c r="K19">
        <f>IF(E19="Y",B19*D19*Escalation!$B$2,0)</f>
        <v/>
      </c>
      <c r="L19">
        <f>IF(F19="Y",B19*D19*Escalation!$B$3,0)</f>
        <v/>
      </c>
      <c r="M19">
        <f>IF(G19="Y",B19*D19*Escalation!$B$4,0)</f>
        <v/>
      </c>
      <c r="N19">
        <f>IF(H19="Y",B19*D19*Escalation!$B$5,0)</f>
        <v/>
      </c>
      <c r="O19">
        <f>IF(I19="Y",B19*D19*Escalation!$B$6,0)</f>
        <v/>
      </c>
      <c r="P19">
        <f>IF(J19="Y",B19*D19*Escalation!$B$7,0)</f>
        <v/>
      </c>
      <c r="R19">
        <f>SUM(K19:P19)</f>
        <v/>
      </c>
    </row>
    <row r="20">
      <c r="K20">
        <f>IF(E20="Y",B20*D20*Escalation!$B$2,0)</f>
        <v/>
      </c>
      <c r="L20">
        <f>IF(F20="Y",B20*D20*Escalation!$B$3,0)</f>
        <v/>
      </c>
      <c r="M20">
        <f>IF(G20="Y",B20*D20*Escalation!$B$4,0)</f>
        <v/>
      </c>
      <c r="N20">
        <f>IF(H20="Y",B20*D20*Escalation!$B$5,0)</f>
        <v/>
      </c>
      <c r="O20">
        <f>IF(I20="Y",B20*D20*Escalation!$B$6,0)</f>
        <v/>
      </c>
      <c r="P20">
        <f>IF(J20="Y",B20*D20*Escalation!$B$7,0)</f>
        <v/>
      </c>
      <c r="R20">
        <f>SUM(K20:P20)</f>
        <v/>
      </c>
    </row>
    <row r="21">
      <c r="K21">
        <f>IF(E21="Y",B21*D21*Escalation!$B$2,0)</f>
        <v/>
      </c>
      <c r="L21">
        <f>IF(F21="Y",B21*D21*Escalation!$B$3,0)</f>
        <v/>
      </c>
      <c r="M21">
        <f>IF(G21="Y",B21*D21*Escalation!$B$4,0)</f>
        <v/>
      </c>
      <c r="N21">
        <f>IF(H21="Y",B21*D21*Escalation!$B$5,0)</f>
        <v/>
      </c>
      <c r="O21">
        <f>IF(I21="Y",B21*D21*Escalation!$B$6,0)</f>
        <v/>
      </c>
      <c r="P21">
        <f>IF(J21="Y",B21*D21*Escalation!$B$7,0)</f>
        <v/>
      </c>
      <c r="R21">
        <f>SUM(K21:P21)</f>
        <v/>
      </c>
    </row>
    <row r="22">
      <c r="K22">
        <f>IF(E22="Y",B22*D22*Escalation!$B$2,0)</f>
        <v/>
      </c>
      <c r="L22">
        <f>IF(F22="Y",B22*D22*Escalation!$B$3,0)</f>
        <v/>
      </c>
      <c r="M22">
        <f>IF(G22="Y",B22*D22*Escalation!$B$4,0)</f>
        <v/>
      </c>
      <c r="N22">
        <f>IF(H22="Y",B22*D22*Escalation!$B$5,0)</f>
        <v/>
      </c>
      <c r="O22">
        <f>IF(I22="Y",B22*D22*Escalation!$B$6,0)</f>
        <v/>
      </c>
      <c r="P22">
        <f>IF(J22="Y",B22*D22*Escalation!$B$7,0)</f>
        <v/>
      </c>
      <c r="R22">
        <f>SUM(K22:P22)</f>
        <v/>
      </c>
    </row>
    <row r="23">
      <c r="K23">
        <f>IF(E23="Y",B23*D23*Escalation!$B$2,0)</f>
        <v/>
      </c>
      <c r="L23">
        <f>IF(F23="Y",B23*D23*Escalation!$B$3,0)</f>
        <v/>
      </c>
      <c r="M23">
        <f>IF(G23="Y",B23*D23*Escalation!$B$4,0)</f>
        <v/>
      </c>
      <c r="N23">
        <f>IF(H23="Y",B23*D23*Escalation!$B$5,0)</f>
        <v/>
      </c>
      <c r="O23">
        <f>IF(I23="Y",B23*D23*Escalation!$B$6,0)</f>
        <v/>
      </c>
      <c r="P23">
        <f>IF(J23="Y",B23*D23*Escalation!$B$7,0)</f>
        <v/>
      </c>
      <c r="R23">
        <f>SUM(K23:P23)</f>
        <v/>
      </c>
    </row>
    <row r="24">
      <c r="K24">
        <f>IF(E24="Y",B24*D24*Escalation!$B$2,0)</f>
        <v/>
      </c>
      <c r="L24">
        <f>IF(F24="Y",B24*D24*Escalation!$B$3,0)</f>
        <v/>
      </c>
      <c r="M24">
        <f>IF(G24="Y",B24*D24*Escalation!$B$4,0)</f>
        <v/>
      </c>
      <c r="N24">
        <f>IF(H24="Y",B24*D24*Escalation!$B$5,0)</f>
        <v/>
      </c>
      <c r="O24">
        <f>IF(I24="Y",B24*D24*Escalation!$B$6,0)</f>
        <v/>
      </c>
      <c r="P24">
        <f>IF(J24="Y",B24*D24*Escalation!$B$7,0)</f>
        <v/>
      </c>
      <c r="R24">
        <f>SUM(K24:P24)</f>
        <v/>
      </c>
    </row>
    <row r="25">
      <c r="K25">
        <f>IF(E25="Y",B25*D25*Escalation!$B$2,0)</f>
        <v/>
      </c>
      <c r="L25">
        <f>IF(F25="Y",B25*D25*Escalation!$B$3,0)</f>
        <v/>
      </c>
      <c r="M25">
        <f>IF(G25="Y",B25*D25*Escalation!$B$4,0)</f>
        <v/>
      </c>
      <c r="N25">
        <f>IF(H25="Y",B25*D25*Escalation!$B$5,0)</f>
        <v/>
      </c>
      <c r="O25">
        <f>IF(I25="Y",B25*D25*Escalation!$B$6,0)</f>
        <v/>
      </c>
      <c r="P25">
        <f>IF(J25="Y",B25*D25*Escalation!$B$7,0)</f>
        <v/>
      </c>
      <c r="R25">
        <f>SUM(K25:P25)</f>
        <v/>
      </c>
    </row>
    <row r="26">
      <c r="K26">
        <f>IF(E26="Y",B26*D26*Escalation!$B$2,0)</f>
        <v/>
      </c>
      <c r="L26">
        <f>IF(F26="Y",B26*D26*Escalation!$B$3,0)</f>
        <v/>
      </c>
      <c r="M26">
        <f>IF(G26="Y",B26*D26*Escalation!$B$4,0)</f>
        <v/>
      </c>
      <c r="N26">
        <f>IF(H26="Y",B26*D26*Escalation!$B$5,0)</f>
        <v/>
      </c>
      <c r="O26">
        <f>IF(I26="Y",B26*D26*Escalation!$B$6,0)</f>
        <v/>
      </c>
      <c r="P26">
        <f>IF(J26="Y",B26*D26*Escalation!$B$7,0)</f>
        <v/>
      </c>
      <c r="R26">
        <f>SUM(K26:P26)</f>
        <v/>
      </c>
    </row>
    <row r="27">
      <c r="K27">
        <f>IF(E27="Y",B27*D27*Escalation!$B$2,0)</f>
        <v/>
      </c>
      <c r="L27">
        <f>IF(F27="Y",B27*D27*Escalation!$B$3,0)</f>
        <v/>
      </c>
      <c r="M27">
        <f>IF(G27="Y",B27*D27*Escalation!$B$4,0)</f>
        <v/>
      </c>
      <c r="N27">
        <f>IF(H27="Y",B27*D27*Escalation!$B$5,0)</f>
        <v/>
      </c>
      <c r="O27">
        <f>IF(I27="Y",B27*D27*Escalation!$B$6,0)</f>
        <v/>
      </c>
      <c r="P27">
        <f>IF(J27="Y",B27*D27*Escalation!$B$7,0)</f>
        <v/>
      </c>
      <c r="R27">
        <f>SUM(K27:P27)</f>
        <v/>
      </c>
    </row>
    <row r="28">
      <c r="K28">
        <f>IF(E28="Y",B28*D28*Escalation!$B$2,0)</f>
        <v/>
      </c>
      <c r="L28">
        <f>IF(F28="Y",B28*D28*Escalation!$B$3,0)</f>
        <v/>
      </c>
      <c r="M28">
        <f>IF(G28="Y",B28*D28*Escalation!$B$4,0)</f>
        <v/>
      </c>
      <c r="N28">
        <f>IF(H28="Y",B28*D28*Escalation!$B$5,0)</f>
        <v/>
      </c>
      <c r="O28">
        <f>IF(I28="Y",B28*D28*Escalation!$B$6,0)</f>
        <v/>
      </c>
      <c r="P28">
        <f>IF(J28="Y",B28*D28*Escalation!$B$7,0)</f>
        <v/>
      </c>
      <c r="R28">
        <f>SUM(K28:P28)</f>
        <v/>
      </c>
    </row>
    <row r="29">
      <c r="K29">
        <f>IF(E29="Y",B29*D29*Escalation!$B$2,0)</f>
        <v/>
      </c>
      <c r="L29">
        <f>IF(F29="Y",B29*D29*Escalation!$B$3,0)</f>
        <v/>
      </c>
      <c r="M29">
        <f>IF(G29="Y",B29*D29*Escalation!$B$4,0)</f>
        <v/>
      </c>
      <c r="N29">
        <f>IF(H29="Y",B29*D29*Escalation!$B$5,0)</f>
        <v/>
      </c>
      <c r="O29">
        <f>IF(I29="Y",B29*D29*Escalation!$B$6,0)</f>
        <v/>
      </c>
      <c r="P29">
        <f>IF(J29="Y",B29*D29*Escalation!$B$7,0)</f>
        <v/>
      </c>
      <c r="R29">
        <f>SUM(K29:P29)</f>
        <v/>
      </c>
    </row>
    <row r="30">
      <c r="K30">
        <f>IF(E30="Y",B30*D30*Escalation!$B$2,0)</f>
        <v/>
      </c>
      <c r="L30">
        <f>IF(F30="Y",B30*D30*Escalation!$B$3,0)</f>
        <v/>
      </c>
      <c r="M30">
        <f>IF(G30="Y",B30*D30*Escalation!$B$4,0)</f>
        <v/>
      </c>
      <c r="N30">
        <f>IF(H30="Y",B30*D30*Escalation!$B$5,0)</f>
        <v/>
      </c>
      <c r="O30">
        <f>IF(I30="Y",B30*D30*Escalation!$B$6,0)</f>
        <v/>
      </c>
      <c r="P30">
        <f>IF(J30="Y",B30*D30*Escalation!$B$7,0)</f>
        <v/>
      </c>
      <c r="R30">
        <f>SUM(K30:P30)</f>
        <v/>
      </c>
    </row>
    <row r="31">
      <c r="K31">
        <f>IF(E31="Y",B31*D31*Escalation!$B$2,0)</f>
        <v/>
      </c>
      <c r="L31">
        <f>IF(F31="Y",B31*D31*Escalation!$B$3,0)</f>
        <v/>
      </c>
      <c r="M31">
        <f>IF(G31="Y",B31*D31*Escalation!$B$4,0)</f>
        <v/>
      </c>
      <c r="N31">
        <f>IF(H31="Y",B31*D31*Escalation!$B$5,0)</f>
        <v/>
      </c>
      <c r="O31">
        <f>IF(I31="Y",B31*D31*Escalation!$B$6,0)</f>
        <v/>
      </c>
      <c r="P31">
        <f>IF(J31="Y",B31*D31*Escalation!$B$7,0)</f>
        <v/>
      </c>
      <c r="R31">
        <f>SUM(K31:P31)</f>
        <v/>
      </c>
    </row>
    <row r="32">
      <c r="K32">
        <f>IF(E32="Y",B32*D32*Escalation!$B$2,0)</f>
        <v/>
      </c>
      <c r="L32">
        <f>IF(F32="Y",B32*D32*Escalation!$B$3,0)</f>
        <v/>
      </c>
      <c r="M32">
        <f>IF(G32="Y",B32*D32*Escalation!$B$4,0)</f>
        <v/>
      </c>
      <c r="N32">
        <f>IF(H32="Y",B32*D32*Escalation!$B$5,0)</f>
        <v/>
      </c>
      <c r="O32">
        <f>IF(I32="Y",B32*D32*Escalation!$B$6,0)</f>
        <v/>
      </c>
      <c r="P32">
        <f>IF(J32="Y",B32*D32*Escalation!$B$7,0)</f>
        <v/>
      </c>
      <c r="R32">
        <f>SUM(K32:P32)</f>
        <v/>
      </c>
    </row>
    <row r="33">
      <c r="K33">
        <f>IF(E33="Y",B33*D33*Escalation!$B$2,0)</f>
        <v/>
      </c>
      <c r="L33">
        <f>IF(F33="Y",B33*D33*Escalation!$B$3,0)</f>
        <v/>
      </c>
      <c r="M33">
        <f>IF(G33="Y",B33*D33*Escalation!$B$4,0)</f>
        <v/>
      </c>
      <c r="N33">
        <f>IF(H33="Y",B33*D33*Escalation!$B$5,0)</f>
        <v/>
      </c>
      <c r="O33">
        <f>IF(I33="Y",B33*D33*Escalation!$B$6,0)</f>
        <v/>
      </c>
      <c r="P33">
        <f>IF(J33="Y",B33*D33*Escalation!$B$7,0)</f>
        <v/>
      </c>
      <c r="R33">
        <f>SUM(K33:P33)</f>
        <v/>
      </c>
    </row>
    <row r="34">
      <c r="K34">
        <f>IF(E34="Y",B34*D34*Escalation!$B$2,0)</f>
        <v/>
      </c>
      <c r="L34">
        <f>IF(F34="Y",B34*D34*Escalation!$B$3,0)</f>
        <v/>
      </c>
      <c r="M34">
        <f>IF(G34="Y",B34*D34*Escalation!$B$4,0)</f>
        <v/>
      </c>
      <c r="N34">
        <f>IF(H34="Y",B34*D34*Escalation!$B$5,0)</f>
        <v/>
      </c>
      <c r="O34">
        <f>IF(I34="Y",B34*D34*Escalation!$B$6,0)</f>
        <v/>
      </c>
      <c r="P34">
        <f>IF(J34="Y",B34*D34*Escalation!$B$7,0)</f>
        <v/>
      </c>
      <c r="R34">
        <f>SUM(K34:P34)</f>
        <v/>
      </c>
    </row>
    <row r="35">
      <c r="K35">
        <f>IF(E35="Y",B35*D35*Escalation!$B$2,0)</f>
        <v/>
      </c>
      <c r="L35">
        <f>IF(F35="Y",B35*D35*Escalation!$B$3,0)</f>
        <v/>
      </c>
      <c r="M35">
        <f>IF(G35="Y",B35*D35*Escalation!$B$4,0)</f>
        <v/>
      </c>
      <c r="N35">
        <f>IF(H35="Y",B35*D35*Escalation!$B$5,0)</f>
        <v/>
      </c>
      <c r="O35">
        <f>IF(I35="Y",B35*D35*Escalation!$B$6,0)</f>
        <v/>
      </c>
      <c r="P35">
        <f>IF(J35="Y",B35*D35*Escalation!$B$7,0)</f>
        <v/>
      </c>
      <c r="R35">
        <f>SUM(K35:P35)</f>
        <v/>
      </c>
    </row>
    <row r="36">
      <c r="K36">
        <f>IF(E36="Y",B36*D36*Escalation!$B$2,0)</f>
        <v/>
      </c>
      <c r="L36">
        <f>IF(F36="Y",B36*D36*Escalation!$B$3,0)</f>
        <v/>
      </c>
      <c r="M36">
        <f>IF(G36="Y",B36*D36*Escalation!$B$4,0)</f>
        <v/>
      </c>
      <c r="N36">
        <f>IF(H36="Y",B36*D36*Escalation!$B$5,0)</f>
        <v/>
      </c>
      <c r="O36">
        <f>IF(I36="Y",B36*D36*Escalation!$B$6,0)</f>
        <v/>
      </c>
      <c r="P36">
        <f>IF(J36="Y",B36*D36*Escalation!$B$7,0)</f>
        <v/>
      </c>
      <c r="R36">
        <f>SUM(K36:P36)</f>
        <v/>
      </c>
    </row>
    <row r="37">
      <c r="K37">
        <f>IF(E37="Y",B37*D37*Escalation!$B$2,0)</f>
        <v/>
      </c>
      <c r="L37">
        <f>IF(F37="Y",B37*D37*Escalation!$B$3,0)</f>
        <v/>
      </c>
      <c r="M37">
        <f>IF(G37="Y",B37*D37*Escalation!$B$4,0)</f>
        <v/>
      </c>
      <c r="N37">
        <f>IF(H37="Y",B37*D37*Escalation!$B$5,0)</f>
        <v/>
      </c>
      <c r="O37">
        <f>IF(I37="Y",B37*D37*Escalation!$B$6,0)</f>
        <v/>
      </c>
      <c r="P37">
        <f>IF(J37="Y",B37*D37*Escalation!$B$7,0)</f>
        <v/>
      </c>
      <c r="R37">
        <f>SUM(K37:P37)</f>
        <v/>
      </c>
    </row>
    <row r="38">
      <c r="K38">
        <f>IF(E38="Y",B38*D38*Escalation!$B$2,0)</f>
        <v/>
      </c>
      <c r="L38">
        <f>IF(F38="Y",B38*D38*Escalation!$B$3,0)</f>
        <v/>
      </c>
      <c r="M38">
        <f>IF(G38="Y",B38*D38*Escalation!$B$4,0)</f>
        <v/>
      </c>
      <c r="N38">
        <f>IF(H38="Y",B38*D38*Escalation!$B$5,0)</f>
        <v/>
      </c>
      <c r="O38">
        <f>IF(I38="Y",B38*D38*Escalation!$B$6,0)</f>
        <v/>
      </c>
      <c r="P38">
        <f>IF(J38="Y",B38*D38*Escalation!$B$7,0)</f>
        <v/>
      </c>
      <c r="R38">
        <f>SUM(K38:P38)</f>
        <v/>
      </c>
    </row>
    <row r="39">
      <c r="K39">
        <f>IF(E39="Y",B39*D39*Escalation!$B$2,0)</f>
        <v/>
      </c>
      <c r="L39">
        <f>IF(F39="Y",B39*D39*Escalation!$B$3,0)</f>
        <v/>
      </c>
      <c r="M39">
        <f>IF(G39="Y",B39*D39*Escalation!$B$4,0)</f>
        <v/>
      </c>
      <c r="N39">
        <f>IF(H39="Y",B39*D39*Escalation!$B$5,0)</f>
        <v/>
      </c>
      <c r="O39">
        <f>IF(I39="Y",B39*D39*Escalation!$B$6,0)</f>
        <v/>
      </c>
      <c r="P39">
        <f>IF(J39="Y",B39*D39*Escalation!$B$7,0)</f>
        <v/>
      </c>
      <c r="R39">
        <f>SUM(K39:P39)</f>
        <v/>
      </c>
    </row>
    <row r="40">
      <c r="K40">
        <f>IF(E40="Y",B40*D40*Escalation!$B$2,0)</f>
        <v/>
      </c>
      <c r="L40">
        <f>IF(F40="Y",B40*D40*Escalation!$B$3,0)</f>
        <v/>
      </c>
      <c r="M40">
        <f>IF(G40="Y",B40*D40*Escalation!$B$4,0)</f>
        <v/>
      </c>
      <c r="N40">
        <f>IF(H40="Y",B40*D40*Escalation!$B$5,0)</f>
        <v/>
      </c>
      <c r="O40">
        <f>IF(I40="Y",B40*D40*Escalation!$B$6,0)</f>
        <v/>
      </c>
      <c r="P40">
        <f>IF(J40="Y",B40*D40*Escalation!$B$7,0)</f>
        <v/>
      </c>
      <c r="R40">
        <f>SUM(K40:P40)</f>
        <v/>
      </c>
    </row>
    <row r="41">
      <c r="K41">
        <f>IF(E41="Y",B41*D41*Escalation!$B$2,0)</f>
        <v/>
      </c>
      <c r="L41">
        <f>IF(F41="Y",B41*D41*Escalation!$B$3,0)</f>
        <v/>
      </c>
      <c r="M41">
        <f>IF(G41="Y",B41*D41*Escalation!$B$4,0)</f>
        <v/>
      </c>
      <c r="N41">
        <f>IF(H41="Y",B41*D41*Escalation!$B$5,0)</f>
        <v/>
      </c>
      <c r="O41">
        <f>IF(I41="Y",B41*D41*Escalation!$B$6,0)</f>
        <v/>
      </c>
      <c r="P41">
        <f>IF(J41="Y",B41*D41*Escalation!$B$7,0)</f>
        <v/>
      </c>
      <c r="R41">
        <f>SUM(K41:P41)</f>
        <v/>
      </c>
    </row>
    <row r="42">
      <c r="K42">
        <f>IF(E42="Y",B42*D42*Escalation!$B$2,0)</f>
        <v/>
      </c>
      <c r="L42">
        <f>IF(F42="Y",B42*D42*Escalation!$B$3,0)</f>
        <v/>
      </c>
      <c r="M42">
        <f>IF(G42="Y",B42*D42*Escalation!$B$4,0)</f>
        <v/>
      </c>
      <c r="N42">
        <f>IF(H42="Y",B42*D42*Escalation!$B$5,0)</f>
        <v/>
      </c>
      <c r="O42">
        <f>IF(I42="Y",B42*D42*Escalation!$B$6,0)</f>
        <v/>
      </c>
      <c r="P42">
        <f>IF(J42="Y",B42*D42*Escalation!$B$7,0)</f>
        <v/>
      </c>
      <c r="R42">
        <f>SUM(K42:P42)</f>
        <v/>
      </c>
    </row>
    <row r="43">
      <c r="K43">
        <f>IF(E43="Y",B43*D43*Escalation!$B$2,0)</f>
        <v/>
      </c>
      <c r="L43">
        <f>IF(F43="Y",B43*D43*Escalation!$B$3,0)</f>
        <v/>
      </c>
      <c r="M43">
        <f>IF(G43="Y",B43*D43*Escalation!$B$4,0)</f>
        <v/>
      </c>
      <c r="N43">
        <f>IF(H43="Y",B43*D43*Escalation!$B$5,0)</f>
        <v/>
      </c>
      <c r="O43">
        <f>IF(I43="Y",B43*D43*Escalation!$B$6,0)</f>
        <v/>
      </c>
      <c r="P43">
        <f>IF(J43="Y",B43*D43*Escalation!$B$7,0)</f>
        <v/>
      </c>
      <c r="R43">
        <f>SUM(K43:P43)</f>
        <v/>
      </c>
    </row>
    <row r="44">
      <c r="K44">
        <f>IF(E44="Y",B44*D44*Escalation!$B$2,0)</f>
        <v/>
      </c>
      <c r="L44">
        <f>IF(F44="Y",B44*D44*Escalation!$B$3,0)</f>
        <v/>
      </c>
      <c r="M44">
        <f>IF(G44="Y",B44*D44*Escalation!$B$4,0)</f>
        <v/>
      </c>
      <c r="N44">
        <f>IF(H44="Y",B44*D44*Escalation!$B$5,0)</f>
        <v/>
      </c>
      <c r="O44">
        <f>IF(I44="Y",B44*D44*Escalation!$B$6,0)</f>
        <v/>
      </c>
      <c r="P44">
        <f>IF(J44="Y",B44*D44*Escalation!$B$7,0)</f>
        <v/>
      </c>
      <c r="R44">
        <f>SUM(K44:P44)</f>
        <v/>
      </c>
    </row>
    <row r="45">
      <c r="K45">
        <f>IF(E45="Y",B45*D45*Escalation!$B$2,0)</f>
        <v/>
      </c>
      <c r="L45">
        <f>IF(F45="Y",B45*D45*Escalation!$B$3,0)</f>
        <v/>
      </c>
      <c r="M45">
        <f>IF(G45="Y",B45*D45*Escalation!$B$4,0)</f>
        <v/>
      </c>
      <c r="N45">
        <f>IF(H45="Y",B45*D45*Escalation!$B$5,0)</f>
        <v/>
      </c>
      <c r="O45">
        <f>IF(I45="Y",B45*D45*Escalation!$B$6,0)</f>
        <v/>
      </c>
      <c r="P45">
        <f>IF(J45="Y",B45*D45*Escalation!$B$7,0)</f>
        <v/>
      </c>
      <c r="R45">
        <f>SUM(K45:P45)</f>
        <v/>
      </c>
    </row>
    <row r="46">
      <c r="K46">
        <f>IF(E46="Y",B46*D46*Escalation!$B$2,0)</f>
        <v/>
      </c>
      <c r="L46">
        <f>IF(F46="Y",B46*D46*Escalation!$B$3,0)</f>
        <v/>
      </c>
      <c r="M46">
        <f>IF(G46="Y",B46*D46*Escalation!$B$4,0)</f>
        <v/>
      </c>
      <c r="N46">
        <f>IF(H46="Y",B46*D46*Escalation!$B$5,0)</f>
        <v/>
      </c>
      <c r="O46">
        <f>IF(I46="Y",B46*D46*Escalation!$B$6,0)</f>
        <v/>
      </c>
      <c r="P46">
        <f>IF(J46="Y",B46*D46*Escalation!$B$7,0)</f>
        <v/>
      </c>
      <c r="R46">
        <f>SUM(K46:P46)</f>
        <v/>
      </c>
    </row>
    <row r="47">
      <c r="K47">
        <f>IF(E47="Y",B47*D47*Escalation!$B$2,0)</f>
        <v/>
      </c>
      <c r="L47">
        <f>IF(F47="Y",B47*D47*Escalation!$B$3,0)</f>
        <v/>
      </c>
      <c r="M47">
        <f>IF(G47="Y",B47*D47*Escalation!$B$4,0)</f>
        <v/>
      </c>
      <c r="N47">
        <f>IF(H47="Y",B47*D47*Escalation!$B$5,0)</f>
        <v/>
      </c>
      <c r="O47">
        <f>IF(I47="Y",B47*D47*Escalation!$B$6,0)</f>
        <v/>
      </c>
      <c r="P47">
        <f>IF(J47="Y",B47*D47*Escalation!$B$7,0)</f>
        <v/>
      </c>
      <c r="R47">
        <f>SUM(K47:P47)</f>
        <v/>
      </c>
    </row>
    <row r="48">
      <c r="K48">
        <f>IF(E48="Y",B48*D48*Escalation!$B$2,0)</f>
        <v/>
      </c>
      <c r="L48">
        <f>IF(F48="Y",B48*D48*Escalation!$B$3,0)</f>
        <v/>
      </c>
      <c r="M48">
        <f>IF(G48="Y",B48*D48*Escalation!$B$4,0)</f>
        <v/>
      </c>
      <c r="N48">
        <f>IF(H48="Y",B48*D48*Escalation!$B$5,0)</f>
        <v/>
      </c>
      <c r="O48">
        <f>IF(I48="Y",B48*D48*Escalation!$B$6,0)</f>
        <v/>
      </c>
      <c r="P48">
        <f>IF(J48="Y",B48*D48*Escalation!$B$7,0)</f>
        <v/>
      </c>
      <c r="R48">
        <f>SUM(K48:P48)</f>
        <v/>
      </c>
    </row>
    <row r="49">
      <c r="K49">
        <f>IF(E49="Y",B49*D49*Escalation!$B$2,0)</f>
        <v/>
      </c>
      <c r="L49">
        <f>IF(F49="Y",B49*D49*Escalation!$B$3,0)</f>
        <v/>
      </c>
      <c r="M49">
        <f>IF(G49="Y",B49*D49*Escalation!$B$4,0)</f>
        <v/>
      </c>
      <c r="N49">
        <f>IF(H49="Y",B49*D49*Escalation!$B$5,0)</f>
        <v/>
      </c>
      <c r="O49">
        <f>IF(I49="Y",B49*D49*Escalation!$B$6,0)</f>
        <v/>
      </c>
      <c r="P49">
        <f>IF(J49="Y",B49*D49*Escalation!$B$7,0)</f>
        <v/>
      </c>
      <c r="R49">
        <f>SUM(K49:P49)</f>
        <v/>
      </c>
    </row>
    <row r="50">
      <c r="K50">
        <f>IF(E50="Y",B50*D50*Escalation!$B$2,0)</f>
        <v/>
      </c>
      <c r="L50">
        <f>IF(F50="Y",B50*D50*Escalation!$B$3,0)</f>
        <v/>
      </c>
      <c r="M50">
        <f>IF(G50="Y",B50*D50*Escalation!$B$4,0)</f>
        <v/>
      </c>
      <c r="N50">
        <f>IF(H50="Y",B50*D50*Escalation!$B$5,0)</f>
        <v/>
      </c>
      <c r="O50">
        <f>IF(I50="Y",B50*D50*Escalation!$B$6,0)</f>
        <v/>
      </c>
      <c r="P50">
        <f>IF(J50="Y",B50*D50*Escalation!$B$7,0)</f>
        <v/>
      </c>
      <c r="R50">
        <f>SUM(K50:P50)</f>
        <v/>
      </c>
    </row>
    <row r="51">
      <c r="K51">
        <f>IF(E51="Y",B51*D51*Escalation!$B$2,0)</f>
        <v/>
      </c>
      <c r="L51">
        <f>IF(F51="Y",B51*D51*Escalation!$B$3,0)</f>
        <v/>
      </c>
      <c r="M51">
        <f>IF(G51="Y",B51*D51*Escalation!$B$4,0)</f>
        <v/>
      </c>
      <c r="N51">
        <f>IF(H51="Y",B51*D51*Escalation!$B$5,0)</f>
        <v/>
      </c>
      <c r="O51">
        <f>IF(I51="Y",B51*D51*Escalation!$B$6,0)</f>
        <v/>
      </c>
      <c r="P51">
        <f>IF(J51="Y",B51*D51*Escalation!$B$7,0)</f>
        <v/>
      </c>
      <c r="R51">
        <f>SUM(K51:P51)</f>
        <v/>
      </c>
    </row>
    <row r="52">
      <c r="K52">
        <f>IF(E52="Y",B52*D52*Escalation!$B$2,0)</f>
        <v/>
      </c>
      <c r="L52">
        <f>IF(F52="Y",B52*D52*Escalation!$B$3,0)</f>
        <v/>
      </c>
      <c r="M52">
        <f>IF(G52="Y",B52*D52*Escalation!$B$4,0)</f>
        <v/>
      </c>
      <c r="N52">
        <f>IF(H52="Y",B52*D52*Escalation!$B$5,0)</f>
        <v/>
      </c>
      <c r="O52">
        <f>IF(I52="Y",B52*D52*Escalation!$B$6,0)</f>
        <v/>
      </c>
      <c r="P52">
        <f>IF(J52="Y",B52*D52*Escalation!$B$7,0)</f>
        <v/>
      </c>
      <c r="R52">
        <f>SUM(K52:P52)</f>
        <v/>
      </c>
    </row>
    <row r="53">
      <c r="K53">
        <f>IF(E53="Y",B53*D53*Escalation!$B$2,0)</f>
        <v/>
      </c>
      <c r="L53">
        <f>IF(F53="Y",B53*D53*Escalation!$B$3,0)</f>
        <v/>
      </c>
      <c r="M53">
        <f>IF(G53="Y",B53*D53*Escalation!$B$4,0)</f>
        <v/>
      </c>
      <c r="N53">
        <f>IF(H53="Y",B53*D53*Escalation!$B$5,0)</f>
        <v/>
      </c>
      <c r="O53">
        <f>IF(I53="Y",B53*D53*Escalation!$B$6,0)</f>
        <v/>
      </c>
      <c r="P53">
        <f>IF(J53="Y",B53*D53*Escalation!$B$7,0)</f>
        <v/>
      </c>
      <c r="R53">
        <f>SUM(K53:P53)</f>
        <v/>
      </c>
    </row>
    <row r="54">
      <c r="K54">
        <f>IF(E54="Y",B54*D54*Escalation!$B$2,0)</f>
        <v/>
      </c>
      <c r="L54">
        <f>IF(F54="Y",B54*D54*Escalation!$B$3,0)</f>
        <v/>
      </c>
      <c r="M54">
        <f>IF(G54="Y",B54*D54*Escalation!$B$4,0)</f>
        <v/>
      </c>
      <c r="N54">
        <f>IF(H54="Y",B54*D54*Escalation!$B$5,0)</f>
        <v/>
      </c>
      <c r="O54">
        <f>IF(I54="Y",B54*D54*Escalation!$B$6,0)</f>
        <v/>
      </c>
      <c r="P54">
        <f>IF(J54="Y",B54*D54*Escalation!$B$7,0)</f>
        <v/>
      </c>
      <c r="R54">
        <f>SUM(K54:P54)</f>
        <v/>
      </c>
    </row>
    <row r="55">
      <c r="K55">
        <f>IF(E55="Y",B55*D55*Escalation!$B$2,0)</f>
        <v/>
      </c>
      <c r="L55">
        <f>IF(F55="Y",B55*D55*Escalation!$B$3,0)</f>
        <v/>
      </c>
      <c r="M55">
        <f>IF(G55="Y",B55*D55*Escalation!$B$4,0)</f>
        <v/>
      </c>
      <c r="N55">
        <f>IF(H55="Y",B55*D55*Escalation!$B$5,0)</f>
        <v/>
      </c>
      <c r="O55">
        <f>IF(I55="Y",B55*D55*Escalation!$B$6,0)</f>
        <v/>
      </c>
      <c r="P55">
        <f>IF(J55="Y",B55*D55*Escalation!$B$7,0)</f>
        <v/>
      </c>
      <c r="R55">
        <f>SUM(K55:P55)</f>
        <v/>
      </c>
    </row>
    <row r="56">
      <c r="K56">
        <f>IF(E56="Y",B56*D56*Escalation!$B$2,0)</f>
        <v/>
      </c>
      <c r="L56">
        <f>IF(F56="Y",B56*D56*Escalation!$B$3,0)</f>
        <v/>
      </c>
      <c r="M56">
        <f>IF(G56="Y",B56*D56*Escalation!$B$4,0)</f>
        <v/>
      </c>
      <c r="N56">
        <f>IF(H56="Y",B56*D56*Escalation!$B$5,0)</f>
        <v/>
      </c>
      <c r="O56">
        <f>IF(I56="Y",B56*D56*Escalation!$B$6,0)</f>
        <v/>
      </c>
      <c r="P56">
        <f>IF(J56="Y",B56*D56*Escalation!$B$7,0)</f>
        <v/>
      </c>
      <c r="R56">
        <f>SUM(K56:P56)</f>
        <v/>
      </c>
    </row>
    <row r="57">
      <c r="K57">
        <f>IF(E57="Y",B57*D57*Escalation!$B$2,0)</f>
        <v/>
      </c>
      <c r="L57">
        <f>IF(F57="Y",B57*D57*Escalation!$B$3,0)</f>
        <v/>
      </c>
      <c r="M57">
        <f>IF(G57="Y",B57*D57*Escalation!$B$4,0)</f>
        <v/>
      </c>
      <c r="N57">
        <f>IF(H57="Y",B57*D57*Escalation!$B$5,0)</f>
        <v/>
      </c>
      <c r="O57">
        <f>IF(I57="Y",B57*D57*Escalation!$B$6,0)</f>
        <v/>
      </c>
      <c r="P57">
        <f>IF(J57="Y",B57*D57*Escalation!$B$7,0)</f>
        <v/>
      </c>
      <c r="R57">
        <f>SUM(K57:P57)</f>
        <v/>
      </c>
    </row>
    <row r="58">
      <c r="K58">
        <f>IF(E58="Y",B58*D58*Escalation!$B$2,0)</f>
        <v/>
      </c>
      <c r="L58">
        <f>IF(F58="Y",B58*D58*Escalation!$B$3,0)</f>
        <v/>
      </c>
      <c r="M58">
        <f>IF(G58="Y",B58*D58*Escalation!$B$4,0)</f>
        <v/>
      </c>
      <c r="N58">
        <f>IF(H58="Y",B58*D58*Escalation!$B$5,0)</f>
        <v/>
      </c>
      <c r="O58">
        <f>IF(I58="Y",B58*D58*Escalation!$B$6,0)</f>
        <v/>
      </c>
      <c r="P58">
        <f>IF(J58="Y",B58*D58*Escalation!$B$7,0)</f>
        <v/>
      </c>
      <c r="R58">
        <f>SUM(K58:P58)</f>
        <v/>
      </c>
    </row>
    <row r="59">
      <c r="K59">
        <f>IF(E59="Y",B59*D59*Escalation!$B$2,0)</f>
        <v/>
      </c>
      <c r="L59">
        <f>IF(F59="Y",B59*D59*Escalation!$B$3,0)</f>
        <v/>
      </c>
      <c r="M59">
        <f>IF(G59="Y",B59*D59*Escalation!$B$4,0)</f>
        <v/>
      </c>
      <c r="N59">
        <f>IF(H59="Y",B59*D59*Escalation!$B$5,0)</f>
        <v/>
      </c>
      <c r="O59">
        <f>IF(I59="Y",B59*D59*Escalation!$B$6,0)</f>
        <v/>
      </c>
      <c r="P59">
        <f>IF(J59="Y",B59*D59*Escalation!$B$7,0)</f>
        <v/>
      </c>
      <c r="R59">
        <f>SUM(K59:P59)</f>
        <v/>
      </c>
    </row>
    <row r="60">
      <c r="K60">
        <f>IF(E60="Y",B60*D60*Escalation!$B$2,0)</f>
        <v/>
      </c>
      <c r="L60">
        <f>IF(F60="Y",B60*D60*Escalation!$B$3,0)</f>
        <v/>
      </c>
      <c r="M60">
        <f>IF(G60="Y",B60*D60*Escalation!$B$4,0)</f>
        <v/>
      </c>
      <c r="N60">
        <f>IF(H60="Y",B60*D60*Escalation!$B$5,0)</f>
        <v/>
      </c>
      <c r="O60">
        <f>IF(I60="Y",B60*D60*Escalation!$B$6,0)</f>
        <v/>
      </c>
      <c r="P60">
        <f>IF(J60="Y",B60*D60*Escalation!$B$7,0)</f>
        <v/>
      </c>
      <c r="R60">
        <f>SUM(K60:P60)</f>
        <v/>
      </c>
    </row>
    <row r="61">
      <c r="K61">
        <f>IF(E61="Y",B61*D61*Escalation!$B$2,0)</f>
        <v/>
      </c>
      <c r="L61">
        <f>IF(F61="Y",B61*D61*Escalation!$B$3,0)</f>
        <v/>
      </c>
      <c r="M61">
        <f>IF(G61="Y",B61*D61*Escalation!$B$4,0)</f>
        <v/>
      </c>
      <c r="N61">
        <f>IF(H61="Y",B61*D61*Escalation!$B$5,0)</f>
        <v/>
      </c>
      <c r="O61">
        <f>IF(I61="Y",B61*D61*Escalation!$B$6,0)</f>
        <v/>
      </c>
      <c r="P61">
        <f>IF(J61="Y",B61*D61*Escalation!$B$7,0)</f>
        <v/>
      </c>
      <c r="R61">
        <f>SUM(K61:P61)</f>
        <v/>
      </c>
    </row>
    <row r="62">
      <c r="K62">
        <f>IF(E62="Y",B62*D62*Escalation!$B$2,0)</f>
        <v/>
      </c>
      <c r="L62">
        <f>IF(F62="Y",B62*D62*Escalation!$B$3,0)</f>
        <v/>
      </c>
      <c r="M62">
        <f>IF(G62="Y",B62*D62*Escalation!$B$4,0)</f>
        <v/>
      </c>
      <c r="N62">
        <f>IF(H62="Y",B62*D62*Escalation!$B$5,0)</f>
        <v/>
      </c>
      <c r="O62">
        <f>IF(I62="Y",B62*D62*Escalation!$B$6,0)</f>
        <v/>
      </c>
      <c r="P62">
        <f>IF(J62="Y",B62*D62*Escalation!$B$7,0)</f>
        <v/>
      </c>
      <c r="R62">
        <f>SUM(K62:P62)</f>
        <v/>
      </c>
    </row>
    <row r="63">
      <c r="K63">
        <f>IF(E63="Y",B63*D63*Escalation!$B$2,0)</f>
        <v/>
      </c>
      <c r="L63">
        <f>IF(F63="Y",B63*D63*Escalation!$B$3,0)</f>
        <v/>
      </c>
      <c r="M63">
        <f>IF(G63="Y",B63*D63*Escalation!$B$4,0)</f>
        <v/>
      </c>
      <c r="N63">
        <f>IF(H63="Y",B63*D63*Escalation!$B$5,0)</f>
        <v/>
      </c>
      <c r="O63">
        <f>IF(I63="Y",B63*D63*Escalation!$B$6,0)</f>
        <v/>
      </c>
      <c r="P63">
        <f>IF(J63="Y",B63*D63*Escalation!$B$7,0)</f>
        <v/>
      </c>
      <c r="R63">
        <f>SUM(K63:P63)</f>
        <v/>
      </c>
    </row>
    <row r="64">
      <c r="K64">
        <f>IF(E64="Y",B64*D64*Escalation!$B$2,0)</f>
        <v/>
      </c>
      <c r="L64">
        <f>IF(F64="Y",B64*D64*Escalation!$B$3,0)</f>
        <v/>
      </c>
      <c r="M64">
        <f>IF(G64="Y",B64*D64*Escalation!$B$4,0)</f>
        <v/>
      </c>
      <c r="N64">
        <f>IF(H64="Y",B64*D64*Escalation!$B$5,0)</f>
        <v/>
      </c>
      <c r="O64">
        <f>IF(I64="Y",B64*D64*Escalation!$B$6,0)</f>
        <v/>
      </c>
      <c r="P64">
        <f>IF(J64="Y",B64*D64*Escalation!$B$7,0)</f>
        <v/>
      </c>
      <c r="R64">
        <f>SUM(K64:P64)</f>
        <v/>
      </c>
    </row>
    <row r="65">
      <c r="K65">
        <f>IF(E65="Y",B65*D65*Escalation!$B$2,0)</f>
        <v/>
      </c>
      <c r="L65">
        <f>IF(F65="Y",B65*D65*Escalation!$B$3,0)</f>
        <v/>
      </c>
      <c r="M65">
        <f>IF(G65="Y",B65*D65*Escalation!$B$4,0)</f>
        <v/>
      </c>
      <c r="N65">
        <f>IF(H65="Y",B65*D65*Escalation!$B$5,0)</f>
        <v/>
      </c>
      <c r="O65">
        <f>IF(I65="Y",B65*D65*Escalation!$B$6,0)</f>
        <v/>
      </c>
      <c r="P65">
        <f>IF(J65="Y",B65*D65*Escalation!$B$7,0)</f>
        <v/>
      </c>
      <c r="R65">
        <f>SUM(K65:P65)</f>
        <v/>
      </c>
    </row>
    <row r="66">
      <c r="K66">
        <f>IF(E66="Y",B66*D66*Escalation!$B$2,0)</f>
        <v/>
      </c>
      <c r="L66">
        <f>IF(F66="Y",B66*D66*Escalation!$B$3,0)</f>
        <v/>
      </c>
      <c r="M66">
        <f>IF(G66="Y",B66*D66*Escalation!$B$4,0)</f>
        <v/>
      </c>
      <c r="N66">
        <f>IF(H66="Y",B66*D66*Escalation!$B$5,0)</f>
        <v/>
      </c>
      <c r="O66">
        <f>IF(I66="Y",B66*D66*Escalation!$B$6,0)</f>
        <v/>
      </c>
      <c r="P66">
        <f>IF(J66="Y",B66*D66*Escalation!$B$7,0)</f>
        <v/>
      </c>
      <c r="R66">
        <f>SUM(K66:P66)</f>
        <v/>
      </c>
    </row>
    <row r="67">
      <c r="K67">
        <f>IF(E67="Y",B67*D67*Escalation!$B$2,0)</f>
        <v/>
      </c>
      <c r="L67">
        <f>IF(F67="Y",B67*D67*Escalation!$B$3,0)</f>
        <v/>
      </c>
      <c r="M67">
        <f>IF(G67="Y",B67*D67*Escalation!$B$4,0)</f>
        <v/>
      </c>
      <c r="N67">
        <f>IF(H67="Y",B67*D67*Escalation!$B$5,0)</f>
        <v/>
      </c>
      <c r="O67">
        <f>IF(I67="Y",B67*D67*Escalation!$B$6,0)</f>
        <v/>
      </c>
      <c r="P67">
        <f>IF(J67="Y",B67*D67*Escalation!$B$7,0)</f>
        <v/>
      </c>
      <c r="R67">
        <f>SUM(K67:P67)</f>
        <v/>
      </c>
    </row>
    <row r="68">
      <c r="K68">
        <f>IF(E68="Y",B68*D68*Escalation!$B$2,0)</f>
        <v/>
      </c>
      <c r="L68">
        <f>IF(F68="Y",B68*D68*Escalation!$B$3,0)</f>
        <v/>
      </c>
      <c r="M68">
        <f>IF(G68="Y",B68*D68*Escalation!$B$4,0)</f>
        <v/>
      </c>
      <c r="N68">
        <f>IF(H68="Y",B68*D68*Escalation!$B$5,0)</f>
        <v/>
      </c>
      <c r="O68">
        <f>IF(I68="Y",B68*D68*Escalation!$B$6,0)</f>
        <v/>
      </c>
      <c r="P68">
        <f>IF(J68="Y",B68*D68*Escalation!$B$7,0)</f>
        <v/>
      </c>
      <c r="R68">
        <f>SUM(K68:P68)</f>
        <v/>
      </c>
    </row>
    <row r="69">
      <c r="K69">
        <f>IF(E69="Y",B69*D69*Escalation!$B$2,0)</f>
        <v/>
      </c>
      <c r="L69">
        <f>IF(F69="Y",B69*D69*Escalation!$B$3,0)</f>
        <v/>
      </c>
      <c r="M69">
        <f>IF(G69="Y",B69*D69*Escalation!$B$4,0)</f>
        <v/>
      </c>
      <c r="N69">
        <f>IF(H69="Y",B69*D69*Escalation!$B$5,0)</f>
        <v/>
      </c>
      <c r="O69">
        <f>IF(I69="Y",B69*D69*Escalation!$B$6,0)</f>
        <v/>
      </c>
      <c r="P69">
        <f>IF(J69="Y",B69*D69*Escalation!$B$7,0)</f>
        <v/>
      </c>
      <c r="R69">
        <f>SUM(K69:P69)</f>
        <v/>
      </c>
    </row>
    <row r="70">
      <c r="K70">
        <f>IF(E70="Y",B70*D70*Escalation!$B$2,0)</f>
        <v/>
      </c>
      <c r="L70">
        <f>IF(F70="Y",B70*D70*Escalation!$B$3,0)</f>
        <v/>
      </c>
      <c r="M70">
        <f>IF(G70="Y",B70*D70*Escalation!$B$4,0)</f>
        <v/>
      </c>
      <c r="N70">
        <f>IF(H70="Y",B70*D70*Escalation!$B$5,0)</f>
        <v/>
      </c>
      <c r="O70">
        <f>IF(I70="Y",B70*D70*Escalation!$B$6,0)</f>
        <v/>
      </c>
      <c r="P70">
        <f>IF(J70="Y",B70*D70*Escalation!$B$7,0)</f>
        <v/>
      </c>
      <c r="R70">
        <f>SUM(K70:P70)</f>
        <v/>
      </c>
    </row>
    <row r="71">
      <c r="K71">
        <f>IF(E71="Y",B71*D71*Escalation!$B$2,0)</f>
        <v/>
      </c>
      <c r="L71">
        <f>IF(F71="Y",B71*D71*Escalation!$B$3,0)</f>
        <v/>
      </c>
      <c r="M71">
        <f>IF(G71="Y",B71*D71*Escalation!$B$4,0)</f>
        <v/>
      </c>
      <c r="N71">
        <f>IF(H71="Y",B71*D71*Escalation!$B$5,0)</f>
        <v/>
      </c>
      <c r="O71">
        <f>IF(I71="Y",B71*D71*Escalation!$B$6,0)</f>
        <v/>
      </c>
      <c r="P71">
        <f>IF(J71="Y",B71*D71*Escalation!$B$7,0)</f>
        <v/>
      </c>
      <c r="R71">
        <f>SUM(K71:P71)</f>
        <v/>
      </c>
    </row>
    <row r="72">
      <c r="K72">
        <f>IF(E72="Y",B72*D72*Escalation!$B$2,0)</f>
        <v/>
      </c>
      <c r="L72">
        <f>IF(F72="Y",B72*D72*Escalation!$B$3,0)</f>
        <v/>
      </c>
      <c r="M72">
        <f>IF(G72="Y",B72*D72*Escalation!$B$4,0)</f>
        <v/>
      </c>
      <c r="N72">
        <f>IF(H72="Y",B72*D72*Escalation!$B$5,0)</f>
        <v/>
      </c>
      <c r="O72">
        <f>IF(I72="Y",B72*D72*Escalation!$B$6,0)</f>
        <v/>
      </c>
      <c r="P72">
        <f>IF(J72="Y",B72*D72*Escalation!$B$7,0)</f>
        <v/>
      </c>
      <c r="R72">
        <f>SUM(K72:P72)</f>
        <v/>
      </c>
    </row>
    <row r="73">
      <c r="K73">
        <f>IF(E73="Y",B73*D73*Escalation!$B$2,0)</f>
        <v/>
      </c>
      <c r="L73">
        <f>IF(F73="Y",B73*D73*Escalation!$B$3,0)</f>
        <v/>
      </c>
      <c r="M73">
        <f>IF(G73="Y",B73*D73*Escalation!$B$4,0)</f>
        <v/>
      </c>
      <c r="N73">
        <f>IF(H73="Y",B73*D73*Escalation!$B$5,0)</f>
        <v/>
      </c>
      <c r="O73">
        <f>IF(I73="Y",B73*D73*Escalation!$B$6,0)</f>
        <v/>
      </c>
      <c r="P73">
        <f>IF(J73="Y",B73*D73*Escalation!$B$7,0)</f>
        <v/>
      </c>
      <c r="R73">
        <f>SUM(K73:P73)</f>
        <v/>
      </c>
    </row>
    <row r="74">
      <c r="K74">
        <f>IF(E74="Y",B74*D74*Escalation!$B$2,0)</f>
        <v/>
      </c>
      <c r="L74">
        <f>IF(F74="Y",B74*D74*Escalation!$B$3,0)</f>
        <v/>
      </c>
      <c r="M74">
        <f>IF(G74="Y",B74*D74*Escalation!$B$4,0)</f>
        <v/>
      </c>
      <c r="N74">
        <f>IF(H74="Y",B74*D74*Escalation!$B$5,0)</f>
        <v/>
      </c>
      <c r="O74">
        <f>IF(I74="Y",B74*D74*Escalation!$B$6,0)</f>
        <v/>
      </c>
      <c r="P74">
        <f>IF(J74="Y",B74*D74*Escalation!$B$7,0)</f>
        <v/>
      </c>
      <c r="R74">
        <f>SUM(K74:P74)</f>
        <v/>
      </c>
    </row>
    <row r="75">
      <c r="K75">
        <f>IF(E75="Y",B75*D75*Escalation!$B$2,0)</f>
        <v/>
      </c>
      <c r="L75">
        <f>IF(F75="Y",B75*D75*Escalation!$B$3,0)</f>
        <v/>
      </c>
      <c r="M75">
        <f>IF(G75="Y",B75*D75*Escalation!$B$4,0)</f>
        <v/>
      </c>
      <c r="N75">
        <f>IF(H75="Y",B75*D75*Escalation!$B$5,0)</f>
        <v/>
      </c>
      <c r="O75">
        <f>IF(I75="Y",B75*D75*Escalation!$B$6,0)</f>
        <v/>
      </c>
      <c r="P75">
        <f>IF(J75="Y",B75*D75*Escalation!$B$7,0)</f>
        <v/>
      </c>
      <c r="R75">
        <f>SUM(K75:P75)</f>
        <v/>
      </c>
    </row>
    <row r="76">
      <c r="K76">
        <f>IF(E76="Y",B76*D76*Escalation!$B$2,0)</f>
        <v/>
      </c>
      <c r="L76">
        <f>IF(F76="Y",B76*D76*Escalation!$B$3,0)</f>
        <v/>
      </c>
      <c r="M76">
        <f>IF(G76="Y",B76*D76*Escalation!$B$4,0)</f>
        <v/>
      </c>
      <c r="N76">
        <f>IF(H76="Y",B76*D76*Escalation!$B$5,0)</f>
        <v/>
      </c>
      <c r="O76">
        <f>IF(I76="Y",B76*D76*Escalation!$B$6,0)</f>
        <v/>
      </c>
      <c r="P76">
        <f>IF(J76="Y",B76*D76*Escalation!$B$7,0)</f>
        <v/>
      </c>
      <c r="R76">
        <f>SUM(K76:P76)</f>
        <v/>
      </c>
    </row>
    <row r="77">
      <c r="K77">
        <f>IF(E77="Y",B77*D77*Escalation!$B$2,0)</f>
        <v/>
      </c>
      <c r="L77">
        <f>IF(F77="Y",B77*D77*Escalation!$B$3,0)</f>
        <v/>
      </c>
      <c r="M77">
        <f>IF(G77="Y",B77*D77*Escalation!$B$4,0)</f>
        <v/>
      </c>
      <c r="N77">
        <f>IF(H77="Y",B77*D77*Escalation!$B$5,0)</f>
        <v/>
      </c>
      <c r="O77">
        <f>IF(I77="Y",B77*D77*Escalation!$B$6,0)</f>
        <v/>
      </c>
      <c r="P77">
        <f>IF(J77="Y",B77*D77*Escalation!$B$7,0)</f>
        <v/>
      </c>
      <c r="R77">
        <f>SUM(K77:P77)</f>
        <v/>
      </c>
    </row>
    <row r="78">
      <c r="K78">
        <f>IF(E78="Y",B78*D78*Escalation!$B$2,0)</f>
        <v/>
      </c>
      <c r="L78">
        <f>IF(F78="Y",B78*D78*Escalation!$B$3,0)</f>
        <v/>
      </c>
      <c r="M78">
        <f>IF(G78="Y",B78*D78*Escalation!$B$4,0)</f>
        <v/>
      </c>
      <c r="N78">
        <f>IF(H78="Y",B78*D78*Escalation!$B$5,0)</f>
        <v/>
      </c>
      <c r="O78">
        <f>IF(I78="Y",B78*D78*Escalation!$B$6,0)</f>
        <v/>
      </c>
      <c r="P78">
        <f>IF(J78="Y",B78*D78*Escalation!$B$7,0)</f>
        <v/>
      </c>
      <c r="R78">
        <f>SUM(K78:P78)</f>
        <v/>
      </c>
    </row>
    <row r="79">
      <c r="K79">
        <f>IF(E79="Y",B79*D79*Escalation!$B$2,0)</f>
        <v/>
      </c>
      <c r="L79">
        <f>IF(F79="Y",B79*D79*Escalation!$B$3,0)</f>
        <v/>
      </c>
      <c r="M79">
        <f>IF(G79="Y",B79*D79*Escalation!$B$4,0)</f>
        <v/>
      </c>
      <c r="N79">
        <f>IF(H79="Y",B79*D79*Escalation!$B$5,0)</f>
        <v/>
      </c>
      <c r="O79">
        <f>IF(I79="Y",B79*D79*Escalation!$B$6,0)</f>
        <v/>
      </c>
      <c r="P79">
        <f>IF(J79="Y",B79*D79*Escalation!$B$7,0)</f>
        <v/>
      </c>
      <c r="R79">
        <f>SUM(K79:P79)</f>
        <v/>
      </c>
    </row>
    <row r="80">
      <c r="K80">
        <f>IF(E80="Y",B80*D80*Escalation!$B$2,0)</f>
        <v/>
      </c>
      <c r="L80">
        <f>IF(F80="Y",B80*D80*Escalation!$B$3,0)</f>
        <v/>
      </c>
      <c r="M80">
        <f>IF(G80="Y",B80*D80*Escalation!$B$4,0)</f>
        <v/>
      </c>
      <c r="N80">
        <f>IF(H80="Y",B80*D80*Escalation!$B$5,0)</f>
        <v/>
      </c>
      <c r="O80">
        <f>IF(I80="Y",B80*D80*Escalation!$B$6,0)</f>
        <v/>
      </c>
      <c r="P80">
        <f>IF(J80="Y",B80*D80*Escalation!$B$7,0)</f>
        <v/>
      </c>
      <c r="R80">
        <f>SUM(K80:P80)</f>
        <v/>
      </c>
    </row>
    <row r="81">
      <c r="K81">
        <f>IF(E81="Y",B81*D81*Escalation!$B$2,0)</f>
        <v/>
      </c>
      <c r="L81">
        <f>IF(F81="Y",B81*D81*Escalation!$B$3,0)</f>
        <v/>
      </c>
      <c r="M81">
        <f>IF(G81="Y",B81*D81*Escalation!$B$4,0)</f>
        <v/>
      </c>
      <c r="N81">
        <f>IF(H81="Y",B81*D81*Escalation!$B$5,0)</f>
        <v/>
      </c>
      <c r="O81">
        <f>IF(I81="Y",B81*D81*Escalation!$B$6,0)</f>
        <v/>
      </c>
      <c r="P81">
        <f>IF(J81="Y",B81*D81*Escalation!$B$7,0)</f>
        <v/>
      </c>
      <c r="R81">
        <f>SUM(K81:P81)</f>
        <v/>
      </c>
    </row>
    <row r="82">
      <c r="K82">
        <f>IF(E82="Y",B82*D82*Escalation!$B$2,0)</f>
        <v/>
      </c>
      <c r="L82">
        <f>IF(F82="Y",B82*D82*Escalation!$B$3,0)</f>
        <v/>
      </c>
      <c r="M82">
        <f>IF(G82="Y",B82*D82*Escalation!$B$4,0)</f>
        <v/>
      </c>
      <c r="N82">
        <f>IF(H82="Y",B82*D82*Escalation!$B$5,0)</f>
        <v/>
      </c>
      <c r="O82">
        <f>IF(I82="Y",B82*D82*Escalation!$B$6,0)</f>
        <v/>
      </c>
      <c r="P82">
        <f>IF(J82="Y",B82*D82*Escalation!$B$7,0)</f>
        <v/>
      </c>
      <c r="R82">
        <f>SUM(K82:P82)</f>
        <v/>
      </c>
    </row>
    <row r="83">
      <c r="K83">
        <f>IF(E83="Y",B83*D83*Escalation!$B$2,0)</f>
        <v/>
      </c>
      <c r="L83">
        <f>IF(F83="Y",B83*D83*Escalation!$B$3,0)</f>
        <v/>
      </c>
      <c r="M83">
        <f>IF(G83="Y",B83*D83*Escalation!$B$4,0)</f>
        <v/>
      </c>
      <c r="N83">
        <f>IF(H83="Y",B83*D83*Escalation!$B$5,0)</f>
        <v/>
      </c>
      <c r="O83">
        <f>IF(I83="Y",B83*D83*Escalation!$B$6,0)</f>
        <v/>
      </c>
      <c r="P83">
        <f>IF(J83="Y",B83*D83*Escalation!$B$7,0)</f>
        <v/>
      </c>
      <c r="R83">
        <f>SUM(K83:P83)</f>
        <v/>
      </c>
    </row>
    <row r="84">
      <c r="K84">
        <f>IF(E84="Y",B84*D84*Escalation!$B$2,0)</f>
        <v/>
      </c>
      <c r="L84">
        <f>IF(F84="Y",B84*D84*Escalation!$B$3,0)</f>
        <v/>
      </c>
      <c r="M84">
        <f>IF(G84="Y",B84*D84*Escalation!$B$4,0)</f>
        <v/>
      </c>
      <c r="N84">
        <f>IF(H84="Y",B84*D84*Escalation!$B$5,0)</f>
        <v/>
      </c>
      <c r="O84">
        <f>IF(I84="Y",B84*D84*Escalation!$B$6,0)</f>
        <v/>
      </c>
      <c r="P84">
        <f>IF(J84="Y",B84*D84*Escalation!$B$7,0)</f>
        <v/>
      </c>
      <c r="R84">
        <f>SUM(K84:P84)</f>
        <v/>
      </c>
    </row>
    <row r="85">
      <c r="K85">
        <f>IF(E85="Y",B85*D85*Escalation!$B$2,0)</f>
        <v/>
      </c>
      <c r="L85">
        <f>IF(F85="Y",B85*D85*Escalation!$B$3,0)</f>
        <v/>
      </c>
      <c r="M85">
        <f>IF(G85="Y",B85*D85*Escalation!$B$4,0)</f>
        <v/>
      </c>
      <c r="N85">
        <f>IF(H85="Y",B85*D85*Escalation!$B$5,0)</f>
        <v/>
      </c>
      <c r="O85">
        <f>IF(I85="Y",B85*D85*Escalation!$B$6,0)</f>
        <v/>
      </c>
      <c r="P85">
        <f>IF(J85="Y",B85*D85*Escalation!$B$7,0)</f>
        <v/>
      </c>
      <c r="R85">
        <f>SUM(K85:P85)</f>
        <v/>
      </c>
    </row>
    <row r="86">
      <c r="K86">
        <f>IF(E86="Y",B86*D86*Escalation!$B$2,0)</f>
        <v/>
      </c>
      <c r="L86">
        <f>IF(F86="Y",B86*D86*Escalation!$B$3,0)</f>
        <v/>
      </c>
      <c r="M86">
        <f>IF(G86="Y",B86*D86*Escalation!$B$4,0)</f>
        <v/>
      </c>
      <c r="N86">
        <f>IF(H86="Y",B86*D86*Escalation!$B$5,0)</f>
        <v/>
      </c>
      <c r="O86">
        <f>IF(I86="Y",B86*D86*Escalation!$B$6,0)</f>
        <v/>
      </c>
      <c r="P86">
        <f>IF(J86="Y",B86*D86*Escalation!$B$7,0)</f>
        <v/>
      </c>
      <c r="R86">
        <f>SUM(K86:P86)</f>
        <v/>
      </c>
    </row>
    <row r="87">
      <c r="K87">
        <f>IF(E87="Y",B87*D87*Escalation!$B$2,0)</f>
        <v/>
      </c>
      <c r="L87">
        <f>IF(F87="Y",B87*D87*Escalation!$B$3,0)</f>
        <v/>
      </c>
      <c r="M87">
        <f>IF(G87="Y",B87*D87*Escalation!$B$4,0)</f>
        <v/>
      </c>
      <c r="N87">
        <f>IF(H87="Y",B87*D87*Escalation!$B$5,0)</f>
        <v/>
      </c>
      <c r="O87">
        <f>IF(I87="Y",B87*D87*Escalation!$B$6,0)</f>
        <v/>
      </c>
      <c r="P87">
        <f>IF(J87="Y",B87*D87*Escalation!$B$7,0)</f>
        <v/>
      </c>
      <c r="R87">
        <f>SUM(K87:P87)</f>
        <v/>
      </c>
    </row>
    <row r="88">
      <c r="K88">
        <f>IF(E88="Y",B88*D88*Escalation!$B$2,0)</f>
        <v/>
      </c>
      <c r="L88">
        <f>IF(F88="Y",B88*D88*Escalation!$B$3,0)</f>
        <v/>
      </c>
      <c r="M88">
        <f>IF(G88="Y",B88*D88*Escalation!$B$4,0)</f>
        <v/>
      </c>
      <c r="N88">
        <f>IF(H88="Y",B88*D88*Escalation!$B$5,0)</f>
        <v/>
      </c>
      <c r="O88">
        <f>IF(I88="Y",B88*D88*Escalation!$B$6,0)</f>
        <v/>
      </c>
      <c r="P88">
        <f>IF(J88="Y",B88*D88*Escalation!$B$7,0)</f>
        <v/>
      </c>
      <c r="R88">
        <f>SUM(K88:P88)</f>
        <v/>
      </c>
    </row>
    <row r="89">
      <c r="K89">
        <f>IF(E89="Y",B89*D89*Escalation!$B$2,0)</f>
        <v/>
      </c>
      <c r="L89">
        <f>IF(F89="Y",B89*D89*Escalation!$B$3,0)</f>
        <v/>
      </c>
      <c r="M89">
        <f>IF(G89="Y",B89*D89*Escalation!$B$4,0)</f>
        <v/>
      </c>
      <c r="N89">
        <f>IF(H89="Y",B89*D89*Escalation!$B$5,0)</f>
        <v/>
      </c>
      <c r="O89">
        <f>IF(I89="Y",B89*D89*Escalation!$B$6,0)</f>
        <v/>
      </c>
      <c r="P89">
        <f>IF(J89="Y",B89*D89*Escalation!$B$7,0)</f>
        <v/>
      </c>
      <c r="R89">
        <f>SUM(K89:P89)</f>
        <v/>
      </c>
    </row>
    <row r="90">
      <c r="K90">
        <f>IF(E90="Y",B90*D90*Escalation!$B$2,0)</f>
        <v/>
      </c>
      <c r="L90">
        <f>IF(F90="Y",B90*D90*Escalation!$B$3,0)</f>
        <v/>
      </c>
      <c r="M90">
        <f>IF(G90="Y",B90*D90*Escalation!$B$4,0)</f>
        <v/>
      </c>
      <c r="N90">
        <f>IF(H90="Y",B90*D90*Escalation!$B$5,0)</f>
        <v/>
      </c>
      <c r="O90">
        <f>IF(I90="Y",B90*D90*Escalation!$B$6,0)</f>
        <v/>
      </c>
      <c r="P90">
        <f>IF(J90="Y",B90*D90*Escalation!$B$7,0)</f>
        <v/>
      </c>
      <c r="R90">
        <f>SUM(K90:P90)</f>
        <v/>
      </c>
    </row>
    <row r="91">
      <c r="K91">
        <f>IF(E91="Y",B91*D91*Escalation!$B$2,0)</f>
        <v/>
      </c>
      <c r="L91">
        <f>IF(F91="Y",B91*D91*Escalation!$B$3,0)</f>
        <v/>
      </c>
      <c r="M91">
        <f>IF(G91="Y",B91*D91*Escalation!$B$4,0)</f>
        <v/>
      </c>
      <c r="N91">
        <f>IF(H91="Y",B91*D91*Escalation!$B$5,0)</f>
        <v/>
      </c>
      <c r="O91">
        <f>IF(I91="Y",B91*D91*Escalation!$B$6,0)</f>
        <v/>
      </c>
      <c r="P91">
        <f>IF(J91="Y",B91*D91*Escalation!$B$7,0)</f>
        <v/>
      </c>
      <c r="R91">
        <f>SUM(K91:P91)</f>
        <v/>
      </c>
    </row>
    <row r="92">
      <c r="K92">
        <f>IF(E92="Y",B92*D92*Escalation!$B$2,0)</f>
        <v/>
      </c>
      <c r="L92">
        <f>IF(F92="Y",B92*D92*Escalation!$B$3,0)</f>
        <v/>
      </c>
      <c r="M92">
        <f>IF(G92="Y",B92*D92*Escalation!$B$4,0)</f>
        <v/>
      </c>
      <c r="N92">
        <f>IF(H92="Y",B92*D92*Escalation!$B$5,0)</f>
        <v/>
      </c>
      <c r="O92">
        <f>IF(I92="Y",B92*D92*Escalation!$B$6,0)</f>
        <v/>
      </c>
      <c r="P92">
        <f>IF(J92="Y",B92*D92*Escalation!$B$7,0)</f>
        <v/>
      </c>
      <c r="R92">
        <f>SUM(K92:P92)</f>
        <v/>
      </c>
    </row>
    <row r="93">
      <c r="K93">
        <f>IF(E93="Y",B93*D93*Escalation!$B$2,0)</f>
        <v/>
      </c>
      <c r="L93">
        <f>IF(F93="Y",B93*D93*Escalation!$B$3,0)</f>
        <v/>
      </c>
      <c r="M93">
        <f>IF(G93="Y",B93*D93*Escalation!$B$4,0)</f>
        <v/>
      </c>
      <c r="N93">
        <f>IF(H93="Y",B93*D93*Escalation!$B$5,0)</f>
        <v/>
      </c>
      <c r="O93">
        <f>IF(I93="Y",B93*D93*Escalation!$B$6,0)</f>
        <v/>
      </c>
      <c r="P93">
        <f>IF(J93="Y",B93*D93*Escalation!$B$7,0)</f>
        <v/>
      </c>
      <c r="R93">
        <f>SUM(K93:P93)</f>
        <v/>
      </c>
    </row>
    <row r="94">
      <c r="K94">
        <f>IF(E94="Y",B94*D94*Escalation!$B$2,0)</f>
        <v/>
      </c>
      <c r="L94">
        <f>IF(F94="Y",B94*D94*Escalation!$B$3,0)</f>
        <v/>
      </c>
      <c r="M94">
        <f>IF(G94="Y",B94*D94*Escalation!$B$4,0)</f>
        <v/>
      </c>
      <c r="N94">
        <f>IF(H94="Y",B94*D94*Escalation!$B$5,0)</f>
        <v/>
      </c>
      <c r="O94">
        <f>IF(I94="Y",B94*D94*Escalation!$B$6,0)</f>
        <v/>
      </c>
      <c r="P94">
        <f>IF(J94="Y",B94*D94*Escalation!$B$7,0)</f>
        <v/>
      </c>
      <c r="R94">
        <f>SUM(K94:P94)</f>
        <v/>
      </c>
    </row>
    <row r="95">
      <c r="K95">
        <f>IF(E95="Y",B95*D95*Escalation!$B$2,0)</f>
        <v/>
      </c>
      <c r="L95">
        <f>IF(F95="Y",B95*D95*Escalation!$B$3,0)</f>
        <v/>
      </c>
      <c r="M95">
        <f>IF(G95="Y",B95*D95*Escalation!$B$4,0)</f>
        <v/>
      </c>
      <c r="N95">
        <f>IF(H95="Y",B95*D95*Escalation!$B$5,0)</f>
        <v/>
      </c>
      <c r="O95">
        <f>IF(I95="Y",B95*D95*Escalation!$B$6,0)</f>
        <v/>
      </c>
      <c r="P95">
        <f>IF(J95="Y",B95*D95*Escalation!$B$7,0)</f>
        <v/>
      </c>
      <c r="R95">
        <f>SUM(K95:P95)</f>
        <v/>
      </c>
    </row>
    <row r="96">
      <c r="K96">
        <f>IF(E96="Y",B96*D96*Escalation!$B$2,0)</f>
        <v/>
      </c>
      <c r="L96">
        <f>IF(F96="Y",B96*D96*Escalation!$B$3,0)</f>
        <v/>
      </c>
      <c r="M96">
        <f>IF(G96="Y",B96*D96*Escalation!$B$4,0)</f>
        <v/>
      </c>
      <c r="N96">
        <f>IF(H96="Y",B96*D96*Escalation!$B$5,0)</f>
        <v/>
      </c>
      <c r="O96">
        <f>IF(I96="Y",B96*D96*Escalation!$B$6,0)</f>
        <v/>
      </c>
      <c r="P96">
        <f>IF(J96="Y",B96*D96*Escalation!$B$7,0)</f>
        <v/>
      </c>
      <c r="R96">
        <f>SUM(K96:P96)</f>
        <v/>
      </c>
    </row>
    <row r="97">
      <c r="K97">
        <f>IF(E97="Y",B97*D97*Escalation!$B$2,0)</f>
        <v/>
      </c>
      <c r="L97">
        <f>IF(F97="Y",B97*D97*Escalation!$B$3,0)</f>
        <v/>
      </c>
      <c r="M97">
        <f>IF(G97="Y",B97*D97*Escalation!$B$4,0)</f>
        <v/>
      </c>
      <c r="N97">
        <f>IF(H97="Y",B97*D97*Escalation!$B$5,0)</f>
        <v/>
      </c>
      <c r="O97">
        <f>IF(I97="Y",B97*D97*Escalation!$B$6,0)</f>
        <v/>
      </c>
      <c r="P97">
        <f>IF(J97="Y",B97*D97*Escalation!$B$7,0)</f>
        <v/>
      </c>
      <c r="R97">
        <f>SUM(K97:P97)</f>
        <v/>
      </c>
    </row>
    <row r="98">
      <c r="K98">
        <f>IF(E98="Y",B98*D98*Escalation!$B$2,0)</f>
        <v/>
      </c>
      <c r="L98">
        <f>IF(F98="Y",B98*D98*Escalation!$B$3,0)</f>
        <v/>
      </c>
      <c r="M98">
        <f>IF(G98="Y",B98*D98*Escalation!$B$4,0)</f>
        <v/>
      </c>
      <c r="N98">
        <f>IF(H98="Y",B98*D98*Escalation!$B$5,0)</f>
        <v/>
      </c>
      <c r="O98">
        <f>IF(I98="Y",B98*D98*Escalation!$B$6,0)</f>
        <v/>
      </c>
      <c r="P98">
        <f>IF(J98="Y",B98*D98*Escalation!$B$7,0)</f>
        <v/>
      </c>
      <c r="R98">
        <f>SUM(K98:P98)</f>
        <v/>
      </c>
    </row>
    <row r="99">
      <c r="K99">
        <f>IF(E99="Y",B99*D99*Escalation!$B$2,0)</f>
        <v/>
      </c>
      <c r="L99">
        <f>IF(F99="Y",B99*D99*Escalation!$B$3,0)</f>
        <v/>
      </c>
      <c r="M99">
        <f>IF(G99="Y",B99*D99*Escalation!$B$4,0)</f>
        <v/>
      </c>
      <c r="N99">
        <f>IF(H99="Y",B99*D99*Escalation!$B$5,0)</f>
        <v/>
      </c>
      <c r="O99">
        <f>IF(I99="Y",B99*D99*Escalation!$B$6,0)</f>
        <v/>
      </c>
      <c r="P99">
        <f>IF(J99="Y",B99*D99*Escalation!$B$7,0)</f>
        <v/>
      </c>
      <c r="R99">
        <f>SUM(K99:P99)</f>
        <v/>
      </c>
    </row>
    <row r="100">
      <c r="K100">
        <f>IF(E100="Y",B100*D100*Escalation!$B$2,0)</f>
        <v/>
      </c>
      <c r="L100">
        <f>IF(F100="Y",B100*D100*Escalation!$B$3,0)</f>
        <v/>
      </c>
      <c r="M100">
        <f>IF(G100="Y",B100*D100*Escalation!$B$4,0)</f>
        <v/>
      </c>
      <c r="N100">
        <f>IF(H100="Y",B100*D100*Escalation!$B$5,0)</f>
        <v/>
      </c>
      <c r="O100">
        <f>IF(I100="Y",B100*D100*Escalation!$B$6,0)</f>
        <v/>
      </c>
      <c r="P100">
        <f>IF(J100="Y",B100*D100*Escalation!$B$7,0)</f>
        <v/>
      </c>
      <c r="R100">
        <f>SUM(K100:P100)</f>
        <v/>
      </c>
    </row>
    <row r="101">
      <c r="K101">
        <f>IF(E101="Y",B101*D101*Escalation!$B$2,0)</f>
        <v/>
      </c>
      <c r="L101">
        <f>IF(F101="Y",B101*D101*Escalation!$B$3,0)</f>
        <v/>
      </c>
      <c r="M101">
        <f>IF(G101="Y",B101*D101*Escalation!$B$4,0)</f>
        <v/>
      </c>
      <c r="N101">
        <f>IF(H101="Y",B101*D101*Escalation!$B$5,0)</f>
        <v/>
      </c>
      <c r="O101">
        <f>IF(I101="Y",B101*D101*Escalation!$B$6,0)</f>
        <v/>
      </c>
      <c r="P101">
        <f>IF(J101="Y",B101*D101*Escalation!$B$7,0)</f>
        <v/>
      </c>
      <c r="R101">
        <f>SUM(K101:P101)</f>
        <v/>
      </c>
    </row>
    <row r="102">
      <c r="K102">
        <f>IF(E102="Y",B102*D102*Escalation!$B$2,0)</f>
        <v/>
      </c>
      <c r="L102">
        <f>IF(F102="Y",B102*D102*Escalation!$B$3,0)</f>
        <v/>
      </c>
      <c r="M102">
        <f>IF(G102="Y",B102*D102*Escalation!$B$4,0)</f>
        <v/>
      </c>
      <c r="N102">
        <f>IF(H102="Y",B102*D102*Escalation!$B$5,0)</f>
        <v/>
      </c>
      <c r="O102">
        <f>IF(I102="Y",B102*D102*Escalation!$B$6,0)</f>
        <v/>
      </c>
      <c r="P102">
        <f>IF(J102="Y",B102*D102*Escalation!$B$7,0)</f>
        <v/>
      </c>
      <c r="R102">
        <f>SUM(K102:P102)</f>
        <v/>
      </c>
    </row>
    <row r="103">
      <c r="K103">
        <f>IF(E103="Y",B103*D103*Escalation!$B$2,0)</f>
        <v/>
      </c>
      <c r="L103">
        <f>IF(F103="Y",B103*D103*Escalation!$B$3,0)</f>
        <v/>
      </c>
      <c r="M103">
        <f>IF(G103="Y",B103*D103*Escalation!$B$4,0)</f>
        <v/>
      </c>
      <c r="N103">
        <f>IF(H103="Y",B103*D103*Escalation!$B$5,0)</f>
        <v/>
      </c>
      <c r="O103">
        <f>IF(I103="Y",B103*D103*Escalation!$B$6,0)</f>
        <v/>
      </c>
      <c r="P103">
        <f>IF(J103="Y",B103*D103*Escalation!$B$7,0)</f>
        <v/>
      </c>
      <c r="R103">
        <f>SUM(K103:P103)</f>
        <v/>
      </c>
    </row>
    <row r="104">
      <c r="K104">
        <f>IF(E104="Y",B104*D104*Escalation!$B$2,0)</f>
        <v/>
      </c>
      <c r="L104">
        <f>IF(F104="Y",B104*D104*Escalation!$B$3,0)</f>
        <v/>
      </c>
      <c r="M104">
        <f>IF(G104="Y",B104*D104*Escalation!$B$4,0)</f>
        <v/>
      </c>
      <c r="N104">
        <f>IF(H104="Y",B104*D104*Escalation!$B$5,0)</f>
        <v/>
      </c>
      <c r="O104">
        <f>IF(I104="Y",B104*D104*Escalation!$B$6,0)</f>
        <v/>
      </c>
      <c r="P104">
        <f>IF(J104="Y",B104*D104*Escalation!$B$7,0)</f>
        <v/>
      </c>
      <c r="R104">
        <f>SUM(K104:P104)</f>
        <v/>
      </c>
    </row>
    <row r="105">
      <c r="K105">
        <f>IF(E105="Y",B105*D105*Escalation!$B$2,0)</f>
        <v/>
      </c>
      <c r="L105">
        <f>IF(F105="Y",B105*D105*Escalation!$B$3,0)</f>
        <v/>
      </c>
      <c r="M105">
        <f>IF(G105="Y",B105*D105*Escalation!$B$4,0)</f>
        <v/>
      </c>
      <c r="N105">
        <f>IF(H105="Y",B105*D105*Escalation!$B$5,0)</f>
        <v/>
      </c>
      <c r="O105">
        <f>IF(I105="Y",B105*D105*Escalation!$B$6,0)</f>
        <v/>
      </c>
      <c r="P105">
        <f>IF(J105="Y",B105*D105*Escalation!$B$7,0)</f>
        <v/>
      </c>
      <c r="R105">
        <f>SUM(K105:P105)</f>
        <v/>
      </c>
    </row>
    <row r="106">
      <c r="K106">
        <f>IF(E106="Y",B106*D106*Escalation!$B$2,0)</f>
        <v/>
      </c>
      <c r="L106">
        <f>IF(F106="Y",B106*D106*Escalation!$B$3,0)</f>
        <v/>
      </c>
      <c r="M106">
        <f>IF(G106="Y",B106*D106*Escalation!$B$4,0)</f>
        <v/>
      </c>
      <c r="N106">
        <f>IF(H106="Y",B106*D106*Escalation!$B$5,0)</f>
        <v/>
      </c>
      <c r="O106">
        <f>IF(I106="Y",B106*D106*Escalation!$B$6,0)</f>
        <v/>
      </c>
      <c r="P106">
        <f>IF(J106="Y",B106*D106*Escalation!$B$7,0)</f>
        <v/>
      </c>
      <c r="R106">
        <f>SUM(K106:P106)</f>
        <v/>
      </c>
    </row>
    <row r="107">
      <c r="K107">
        <f>IF(E107="Y",B107*D107*Escalation!$B$2,0)</f>
        <v/>
      </c>
      <c r="L107">
        <f>IF(F107="Y",B107*D107*Escalation!$B$3,0)</f>
        <v/>
      </c>
      <c r="M107">
        <f>IF(G107="Y",B107*D107*Escalation!$B$4,0)</f>
        <v/>
      </c>
      <c r="N107">
        <f>IF(H107="Y",B107*D107*Escalation!$B$5,0)</f>
        <v/>
      </c>
      <c r="O107">
        <f>IF(I107="Y",B107*D107*Escalation!$B$6,0)</f>
        <v/>
      </c>
      <c r="P107">
        <f>IF(J107="Y",B107*D107*Escalation!$B$7,0)</f>
        <v/>
      </c>
      <c r="R107">
        <f>SUM(K107:P107)</f>
        <v/>
      </c>
    </row>
    <row r="108">
      <c r="K108">
        <f>IF(E108="Y",B108*D108*Escalation!$B$2,0)</f>
        <v/>
      </c>
      <c r="L108">
        <f>IF(F108="Y",B108*D108*Escalation!$B$3,0)</f>
        <v/>
      </c>
      <c r="M108">
        <f>IF(G108="Y",B108*D108*Escalation!$B$4,0)</f>
        <v/>
      </c>
      <c r="N108">
        <f>IF(H108="Y",B108*D108*Escalation!$B$5,0)</f>
        <v/>
      </c>
      <c r="O108">
        <f>IF(I108="Y",B108*D108*Escalation!$B$6,0)</f>
        <v/>
      </c>
      <c r="P108">
        <f>IF(J108="Y",B108*D108*Escalation!$B$7,0)</f>
        <v/>
      </c>
      <c r="R108">
        <f>SUM(K108:P108)</f>
        <v/>
      </c>
    </row>
    <row r="109">
      <c r="K109">
        <f>IF(E109="Y",B109*D109*Escalation!$B$2,0)</f>
        <v/>
      </c>
      <c r="L109">
        <f>IF(F109="Y",B109*D109*Escalation!$B$3,0)</f>
        <v/>
      </c>
      <c r="M109">
        <f>IF(G109="Y",B109*D109*Escalation!$B$4,0)</f>
        <v/>
      </c>
      <c r="N109">
        <f>IF(H109="Y",B109*D109*Escalation!$B$5,0)</f>
        <v/>
      </c>
      <c r="O109">
        <f>IF(I109="Y",B109*D109*Escalation!$B$6,0)</f>
        <v/>
      </c>
      <c r="P109">
        <f>IF(J109="Y",B109*D109*Escalation!$B$7,0)</f>
        <v/>
      </c>
      <c r="R109">
        <f>SUM(K109:P109)</f>
        <v/>
      </c>
    </row>
    <row r="110">
      <c r="K110">
        <f>IF(E110="Y",B110*D110*Escalation!$B$2,0)</f>
        <v/>
      </c>
      <c r="L110">
        <f>IF(F110="Y",B110*D110*Escalation!$B$3,0)</f>
        <v/>
      </c>
      <c r="M110">
        <f>IF(G110="Y",B110*D110*Escalation!$B$4,0)</f>
        <v/>
      </c>
      <c r="N110">
        <f>IF(H110="Y",B110*D110*Escalation!$B$5,0)</f>
        <v/>
      </c>
      <c r="O110">
        <f>IF(I110="Y",B110*D110*Escalation!$B$6,0)</f>
        <v/>
      </c>
      <c r="P110">
        <f>IF(J110="Y",B110*D110*Escalation!$B$7,0)</f>
        <v/>
      </c>
      <c r="R110">
        <f>SUM(K110:P110)</f>
        <v/>
      </c>
    </row>
    <row r="111">
      <c r="K111">
        <f>IF(E111="Y",B111*D111*Escalation!$B$2,0)</f>
        <v/>
      </c>
      <c r="L111">
        <f>IF(F111="Y",B111*D111*Escalation!$B$3,0)</f>
        <v/>
      </c>
      <c r="M111">
        <f>IF(G111="Y",B111*D111*Escalation!$B$4,0)</f>
        <v/>
      </c>
      <c r="N111">
        <f>IF(H111="Y",B111*D111*Escalation!$B$5,0)</f>
        <v/>
      </c>
      <c r="O111">
        <f>IF(I111="Y",B111*D111*Escalation!$B$6,0)</f>
        <v/>
      </c>
      <c r="P111">
        <f>IF(J111="Y",B111*D111*Escalation!$B$7,0)</f>
        <v/>
      </c>
      <c r="R111">
        <f>SUM(K111:P111)</f>
        <v/>
      </c>
    </row>
    <row r="112">
      <c r="K112">
        <f>IF(E112="Y",B112*D112*Escalation!$B$2,0)</f>
        <v/>
      </c>
      <c r="L112">
        <f>IF(F112="Y",B112*D112*Escalation!$B$3,0)</f>
        <v/>
      </c>
      <c r="M112">
        <f>IF(G112="Y",B112*D112*Escalation!$B$4,0)</f>
        <v/>
      </c>
      <c r="N112">
        <f>IF(H112="Y",B112*D112*Escalation!$B$5,0)</f>
        <v/>
      </c>
      <c r="O112">
        <f>IF(I112="Y",B112*D112*Escalation!$B$6,0)</f>
        <v/>
      </c>
      <c r="P112">
        <f>IF(J112="Y",B112*D112*Escalation!$B$7,0)</f>
        <v/>
      </c>
      <c r="R112">
        <f>SUM(K112:P112)</f>
        <v/>
      </c>
    </row>
    <row r="113">
      <c r="K113">
        <f>IF(E113="Y",B113*D113*Escalation!$B$2,0)</f>
        <v/>
      </c>
      <c r="L113">
        <f>IF(F113="Y",B113*D113*Escalation!$B$3,0)</f>
        <v/>
      </c>
      <c r="M113">
        <f>IF(G113="Y",B113*D113*Escalation!$B$4,0)</f>
        <v/>
      </c>
      <c r="N113">
        <f>IF(H113="Y",B113*D113*Escalation!$B$5,0)</f>
        <v/>
      </c>
      <c r="O113">
        <f>IF(I113="Y",B113*D113*Escalation!$B$6,0)</f>
        <v/>
      </c>
      <c r="P113">
        <f>IF(J113="Y",B113*D113*Escalation!$B$7,0)</f>
        <v/>
      </c>
      <c r="R113">
        <f>SUM(K113:P113)</f>
        <v/>
      </c>
    </row>
    <row r="114">
      <c r="K114">
        <f>IF(E114="Y",B114*D114*Escalation!$B$2,0)</f>
        <v/>
      </c>
      <c r="L114">
        <f>IF(F114="Y",B114*D114*Escalation!$B$3,0)</f>
        <v/>
      </c>
      <c r="M114">
        <f>IF(G114="Y",B114*D114*Escalation!$B$4,0)</f>
        <v/>
      </c>
      <c r="N114">
        <f>IF(H114="Y",B114*D114*Escalation!$B$5,0)</f>
        <v/>
      </c>
      <c r="O114">
        <f>IF(I114="Y",B114*D114*Escalation!$B$6,0)</f>
        <v/>
      </c>
      <c r="P114">
        <f>IF(J114="Y",B114*D114*Escalation!$B$7,0)</f>
        <v/>
      </c>
      <c r="R114">
        <f>SUM(K114:P114)</f>
        <v/>
      </c>
    </row>
    <row r="115">
      <c r="K115">
        <f>IF(E115="Y",B115*D115*Escalation!$B$2,0)</f>
        <v/>
      </c>
      <c r="L115">
        <f>IF(F115="Y",B115*D115*Escalation!$B$3,0)</f>
        <v/>
      </c>
      <c r="M115">
        <f>IF(G115="Y",B115*D115*Escalation!$B$4,0)</f>
        <v/>
      </c>
      <c r="N115">
        <f>IF(H115="Y",B115*D115*Escalation!$B$5,0)</f>
        <v/>
      </c>
      <c r="O115">
        <f>IF(I115="Y",B115*D115*Escalation!$B$6,0)</f>
        <v/>
      </c>
      <c r="P115">
        <f>IF(J115="Y",B115*D115*Escalation!$B$7,0)</f>
        <v/>
      </c>
      <c r="R115">
        <f>SUM(K115:P115)</f>
        <v/>
      </c>
    </row>
    <row r="116">
      <c r="K116">
        <f>IF(E116="Y",B116*D116*Escalation!$B$2,0)</f>
        <v/>
      </c>
      <c r="L116">
        <f>IF(F116="Y",B116*D116*Escalation!$B$3,0)</f>
        <v/>
      </c>
      <c r="M116">
        <f>IF(G116="Y",B116*D116*Escalation!$B$4,0)</f>
        <v/>
      </c>
      <c r="N116">
        <f>IF(H116="Y",B116*D116*Escalation!$B$5,0)</f>
        <v/>
      </c>
      <c r="O116">
        <f>IF(I116="Y",B116*D116*Escalation!$B$6,0)</f>
        <v/>
      </c>
      <c r="P116">
        <f>IF(J116="Y",B116*D116*Escalation!$B$7,0)</f>
        <v/>
      </c>
      <c r="R116">
        <f>SUM(K116:P116)</f>
        <v/>
      </c>
    </row>
    <row r="117">
      <c r="K117">
        <f>IF(E117="Y",B117*D117*Escalation!$B$2,0)</f>
        <v/>
      </c>
      <c r="L117">
        <f>IF(F117="Y",B117*D117*Escalation!$B$3,0)</f>
        <v/>
      </c>
      <c r="M117">
        <f>IF(G117="Y",B117*D117*Escalation!$B$4,0)</f>
        <v/>
      </c>
      <c r="N117">
        <f>IF(H117="Y",B117*D117*Escalation!$B$5,0)</f>
        <v/>
      </c>
      <c r="O117">
        <f>IF(I117="Y",B117*D117*Escalation!$B$6,0)</f>
        <v/>
      </c>
      <c r="P117">
        <f>IF(J117="Y",B117*D117*Escalation!$B$7,0)</f>
        <v/>
      </c>
      <c r="R117">
        <f>SUM(K117:P117)</f>
        <v/>
      </c>
    </row>
    <row r="118">
      <c r="K118">
        <f>IF(E118="Y",B118*D118*Escalation!$B$2,0)</f>
        <v/>
      </c>
      <c r="L118">
        <f>IF(F118="Y",B118*D118*Escalation!$B$3,0)</f>
        <v/>
      </c>
      <c r="M118">
        <f>IF(G118="Y",B118*D118*Escalation!$B$4,0)</f>
        <v/>
      </c>
      <c r="N118">
        <f>IF(H118="Y",B118*D118*Escalation!$B$5,0)</f>
        <v/>
      </c>
      <c r="O118">
        <f>IF(I118="Y",B118*D118*Escalation!$B$6,0)</f>
        <v/>
      </c>
      <c r="P118">
        <f>IF(J118="Y",B118*D118*Escalation!$B$7,0)</f>
        <v/>
      </c>
      <c r="R118">
        <f>SUM(K118:P118)</f>
        <v/>
      </c>
    </row>
    <row r="119">
      <c r="K119">
        <f>IF(E119="Y",B119*D119*Escalation!$B$2,0)</f>
        <v/>
      </c>
      <c r="L119">
        <f>IF(F119="Y",B119*D119*Escalation!$B$3,0)</f>
        <v/>
      </c>
      <c r="M119">
        <f>IF(G119="Y",B119*D119*Escalation!$B$4,0)</f>
        <v/>
      </c>
      <c r="N119">
        <f>IF(H119="Y",B119*D119*Escalation!$B$5,0)</f>
        <v/>
      </c>
      <c r="O119">
        <f>IF(I119="Y",B119*D119*Escalation!$B$6,0)</f>
        <v/>
      </c>
      <c r="P119">
        <f>IF(J119="Y",B119*D119*Escalation!$B$7,0)</f>
        <v/>
      </c>
      <c r="R119">
        <f>SUM(K119:P119)</f>
        <v/>
      </c>
    </row>
    <row r="120">
      <c r="K120">
        <f>IF(E120="Y",B120*D120*Escalation!$B$2,0)</f>
        <v/>
      </c>
      <c r="L120">
        <f>IF(F120="Y",B120*D120*Escalation!$B$3,0)</f>
        <v/>
      </c>
      <c r="M120">
        <f>IF(G120="Y",B120*D120*Escalation!$B$4,0)</f>
        <v/>
      </c>
      <c r="N120">
        <f>IF(H120="Y",B120*D120*Escalation!$B$5,0)</f>
        <v/>
      </c>
      <c r="O120">
        <f>IF(I120="Y",B120*D120*Escalation!$B$6,0)</f>
        <v/>
      </c>
      <c r="P120">
        <f>IF(J120="Y",B120*D120*Escalation!$B$7,0)</f>
        <v/>
      </c>
      <c r="R120">
        <f>SUM(K120:P120)</f>
        <v/>
      </c>
    </row>
    <row r="121">
      <c r="K121">
        <f>IF(E121="Y",B121*D121*Escalation!$B$2,0)</f>
        <v/>
      </c>
      <c r="L121">
        <f>IF(F121="Y",B121*D121*Escalation!$B$3,0)</f>
        <v/>
      </c>
      <c r="M121">
        <f>IF(G121="Y",B121*D121*Escalation!$B$4,0)</f>
        <v/>
      </c>
      <c r="N121">
        <f>IF(H121="Y",B121*D121*Escalation!$B$5,0)</f>
        <v/>
      </c>
      <c r="O121">
        <f>IF(I121="Y",B121*D121*Escalation!$B$6,0)</f>
        <v/>
      </c>
      <c r="P121">
        <f>IF(J121="Y",B121*D121*Escalation!$B$7,0)</f>
        <v/>
      </c>
      <c r="R121">
        <f>SUM(K121:P121)</f>
        <v/>
      </c>
    </row>
    <row r="122">
      <c r="K122">
        <f>IF(E122="Y",B122*D122*Escalation!$B$2,0)</f>
        <v/>
      </c>
      <c r="L122">
        <f>IF(F122="Y",B122*D122*Escalation!$B$3,0)</f>
        <v/>
      </c>
      <c r="M122">
        <f>IF(G122="Y",B122*D122*Escalation!$B$4,0)</f>
        <v/>
      </c>
      <c r="N122">
        <f>IF(H122="Y",B122*D122*Escalation!$B$5,0)</f>
        <v/>
      </c>
      <c r="O122">
        <f>IF(I122="Y",B122*D122*Escalation!$B$6,0)</f>
        <v/>
      </c>
      <c r="P122">
        <f>IF(J122="Y",B122*D122*Escalation!$B$7,0)</f>
        <v/>
      </c>
      <c r="R122">
        <f>SUM(K122:P122)</f>
        <v/>
      </c>
    </row>
    <row r="123">
      <c r="K123">
        <f>IF(E123="Y",B123*D123*Escalation!$B$2,0)</f>
        <v/>
      </c>
      <c r="L123">
        <f>IF(F123="Y",B123*D123*Escalation!$B$3,0)</f>
        <v/>
      </c>
      <c r="M123">
        <f>IF(G123="Y",B123*D123*Escalation!$B$4,0)</f>
        <v/>
      </c>
      <c r="N123">
        <f>IF(H123="Y",B123*D123*Escalation!$B$5,0)</f>
        <v/>
      </c>
      <c r="O123">
        <f>IF(I123="Y",B123*D123*Escalation!$B$6,0)</f>
        <v/>
      </c>
      <c r="P123">
        <f>IF(J123="Y",B123*D123*Escalation!$B$7,0)</f>
        <v/>
      </c>
      <c r="R123">
        <f>SUM(K123:P123)</f>
        <v/>
      </c>
    </row>
    <row r="124">
      <c r="K124">
        <f>IF(E124="Y",B124*D124*Escalation!$B$2,0)</f>
        <v/>
      </c>
      <c r="L124">
        <f>IF(F124="Y",B124*D124*Escalation!$B$3,0)</f>
        <v/>
      </c>
      <c r="M124">
        <f>IF(G124="Y",B124*D124*Escalation!$B$4,0)</f>
        <v/>
      </c>
      <c r="N124">
        <f>IF(H124="Y",B124*D124*Escalation!$B$5,0)</f>
        <v/>
      </c>
      <c r="O124">
        <f>IF(I124="Y",B124*D124*Escalation!$B$6,0)</f>
        <v/>
      </c>
      <c r="P124">
        <f>IF(J124="Y",B124*D124*Escalation!$B$7,0)</f>
        <v/>
      </c>
      <c r="R124">
        <f>SUM(K124:P124)</f>
        <v/>
      </c>
    </row>
    <row r="125">
      <c r="K125">
        <f>IF(E125="Y",B125*D125*Escalation!$B$2,0)</f>
        <v/>
      </c>
      <c r="L125">
        <f>IF(F125="Y",B125*D125*Escalation!$B$3,0)</f>
        <v/>
      </c>
      <c r="M125">
        <f>IF(G125="Y",B125*D125*Escalation!$B$4,0)</f>
        <v/>
      </c>
      <c r="N125">
        <f>IF(H125="Y",B125*D125*Escalation!$B$5,0)</f>
        <v/>
      </c>
      <c r="O125">
        <f>IF(I125="Y",B125*D125*Escalation!$B$6,0)</f>
        <v/>
      </c>
      <c r="P125">
        <f>IF(J125="Y",B125*D125*Escalation!$B$7,0)</f>
        <v/>
      </c>
      <c r="R125">
        <f>SUM(K125:P125)</f>
        <v/>
      </c>
    </row>
    <row r="126">
      <c r="K126">
        <f>IF(E126="Y",B126*D126*Escalation!$B$2,0)</f>
        <v/>
      </c>
      <c r="L126">
        <f>IF(F126="Y",B126*D126*Escalation!$B$3,0)</f>
        <v/>
      </c>
      <c r="M126">
        <f>IF(G126="Y",B126*D126*Escalation!$B$4,0)</f>
        <v/>
      </c>
      <c r="N126">
        <f>IF(H126="Y",B126*D126*Escalation!$B$5,0)</f>
        <v/>
      </c>
      <c r="O126">
        <f>IF(I126="Y",B126*D126*Escalation!$B$6,0)</f>
        <v/>
      </c>
      <c r="P126">
        <f>IF(J126="Y",B126*D126*Escalation!$B$7,0)</f>
        <v/>
      </c>
      <c r="R126">
        <f>SUM(K126:P126)</f>
        <v/>
      </c>
    </row>
    <row r="127">
      <c r="K127">
        <f>IF(E127="Y",B127*D127*Escalation!$B$2,0)</f>
        <v/>
      </c>
      <c r="L127">
        <f>IF(F127="Y",B127*D127*Escalation!$B$3,0)</f>
        <v/>
      </c>
      <c r="M127">
        <f>IF(G127="Y",B127*D127*Escalation!$B$4,0)</f>
        <v/>
      </c>
      <c r="N127">
        <f>IF(H127="Y",B127*D127*Escalation!$B$5,0)</f>
        <v/>
      </c>
      <c r="O127">
        <f>IF(I127="Y",B127*D127*Escalation!$B$6,0)</f>
        <v/>
      </c>
      <c r="P127">
        <f>IF(J127="Y",B127*D127*Escalation!$B$7,0)</f>
        <v/>
      </c>
      <c r="R127">
        <f>SUM(K127:P127)</f>
        <v/>
      </c>
    </row>
    <row r="128">
      <c r="K128">
        <f>IF(E128="Y",B128*D128*Escalation!$B$2,0)</f>
        <v/>
      </c>
      <c r="L128">
        <f>IF(F128="Y",B128*D128*Escalation!$B$3,0)</f>
        <v/>
      </c>
      <c r="M128">
        <f>IF(G128="Y",B128*D128*Escalation!$B$4,0)</f>
        <v/>
      </c>
      <c r="N128">
        <f>IF(H128="Y",B128*D128*Escalation!$B$5,0)</f>
        <v/>
      </c>
      <c r="O128">
        <f>IF(I128="Y",B128*D128*Escalation!$B$6,0)</f>
        <v/>
      </c>
      <c r="P128">
        <f>IF(J128="Y",B128*D128*Escalation!$B$7,0)</f>
        <v/>
      </c>
      <c r="R128">
        <f>SUM(K128:P128)</f>
        <v/>
      </c>
    </row>
    <row r="129">
      <c r="K129">
        <f>IF(E129="Y",B129*D129*Escalation!$B$2,0)</f>
        <v/>
      </c>
      <c r="L129">
        <f>IF(F129="Y",B129*D129*Escalation!$B$3,0)</f>
        <v/>
      </c>
      <c r="M129">
        <f>IF(G129="Y",B129*D129*Escalation!$B$4,0)</f>
        <v/>
      </c>
      <c r="N129">
        <f>IF(H129="Y",B129*D129*Escalation!$B$5,0)</f>
        <v/>
      </c>
      <c r="O129">
        <f>IF(I129="Y",B129*D129*Escalation!$B$6,0)</f>
        <v/>
      </c>
      <c r="P129">
        <f>IF(J129="Y",B129*D129*Escalation!$B$7,0)</f>
        <v/>
      </c>
      <c r="R129">
        <f>SUM(K129:P129)</f>
        <v/>
      </c>
    </row>
    <row r="130">
      <c r="K130">
        <f>IF(E130="Y",B130*D130*Escalation!$B$2,0)</f>
        <v/>
      </c>
      <c r="L130">
        <f>IF(F130="Y",B130*D130*Escalation!$B$3,0)</f>
        <v/>
      </c>
      <c r="M130">
        <f>IF(G130="Y",B130*D130*Escalation!$B$4,0)</f>
        <v/>
      </c>
      <c r="N130">
        <f>IF(H130="Y",B130*D130*Escalation!$B$5,0)</f>
        <v/>
      </c>
      <c r="O130">
        <f>IF(I130="Y",B130*D130*Escalation!$B$6,0)</f>
        <v/>
      </c>
      <c r="P130">
        <f>IF(J130="Y",B130*D130*Escalation!$B$7,0)</f>
        <v/>
      </c>
      <c r="R130">
        <f>SUM(K130:P130)</f>
        <v/>
      </c>
    </row>
    <row r="131">
      <c r="K131">
        <f>IF(E131="Y",B131*D131*Escalation!$B$2,0)</f>
        <v/>
      </c>
      <c r="L131">
        <f>IF(F131="Y",B131*D131*Escalation!$B$3,0)</f>
        <v/>
      </c>
      <c r="M131">
        <f>IF(G131="Y",B131*D131*Escalation!$B$4,0)</f>
        <v/>
      </c>
      <c r="N131">
        <f>IF(H131="Y",B131*D131*Escalation!$B$5,0)</f>
        <v/>
      </c>
      <c r="O131">
        <f>IF(I131="Y",B131*D131*Escalation!$B$6,0)</f>
        <v/>
      </c>
      <c r="P131">
        <f>IF(J131="Y",B131*D131*Escalation!$B$7,0)</f>
        <v/>
      </c>
      <c r="R131">
        <f>SUM(K131:P131)</f>
        <v/>
      </c>
    </row>
    <row r="132">
      <c r="K132">
        <f>IF(E132="Y",B132*D132*Escalation!$B$2,0)</f>
        <v/>
      </c>
      <c r="L132">
        <f>IF(F132="Y",B132*D132*Escalation!$B$3,0)</f>
        <v/>
      </c>
      <c r="M132">
        <f>IF(G132="Y",B132*D132*Escalation!$B$4,0)</f>
        <v/>
      </c>
      <c r="N132">
        <f>IF(H132="Y",B132*D132*Escalation!$B$5,0)</f>
        <v/>
      </c>
      <c r="O132">
        <f>IF(I132="Y",B132*D132*Escalation!$B$6,0)</f>
        <v/>
      </c>
      <c r="P132">
        <f>IF(J132="Y",B132*D132*Escalation!$B$7,0)</f>
        <v/>
      </c>
      <c r="R132">
        <f>SUM(K132:P132)</f>
        <v/>
      </c>
    </row>
    <row r="133">
      <c r="K133">
        <f>IF(E133="Y",B133*D133*Escalation!$B$2,0)</f>
        <v/>
      </c>
      <c r="L133">
        <f>IF(F133="Y",B133*D133*Escalation!$B$3,0)</f>
        <v/>
      </c>
      <c r="M133">
        <f>IF(G133="Y",B133*D133*Escalation!$B$4,0)</f>
        <v/>
      </c>
      <c r="N133">
        <f>IF(H133="Y",B133*D133*Escalation!$B$5,0)</f>
        <v/>
      </c>
      <c r="O133">
        <f>IF(I133="Y",B133*D133*Escalation!$B$6,0)</f>
        <v/>
      </c>
      <c r="P133">
        <f>IF(J133="Y",B133*D133*Escalation!$B$7,0)</f>
        <v/>
      </c>
      <c r="R133">
        <f>SUM(K133:P133)</f>
        <v/>
      </c>
    </row>
    <row r="134">
      <c r="K134">
        <f>IF(E134="Y",B134*D134*Escalation!$B$2,0)</f>
        <v/>
      </c>
      <c r="L134">
        <f>IF(F134="Y",B134*D134*Escalation!$B$3,0)</f>
        <v/>
      </c>
      <c r="M134">
        <f>IF(G134="Y",B134*D134*Escalation!$B$4,0)</f>
        <v/>
      </c>
      <c r="N134">
        <f>IF(H134="Y",B134*D134*Escalation!$B$5,0)</f>
        <v/>
      </c>
      <c r="O134">
        <f>IF(I134="Y",B134*D134*Escalation!$B$6,0)</f>
        <v/>
      </c>
      <c r="P134">
        <f>IF(J134="Y",B134*D134*Escalation!$B$7,0)</f>
        <v/>
      </c>
      <c r="R134">
        <f>SUM(K134:P134)</f>
        <v/>
      </c>
    </row>
    <row r="135">
      <c r="K135">
        <f>IF(E135="Y",B135*D135*Escalation!$B$2,0)</f>
        <v/>
      </c>
      <c r="L135">
        <f>IF(F135="Y",B135*D135*Escalation!$B$3,0)</f>
        <v/>
      </c>
      <c r="M135">
        <f>IF(G135="Y",B135*D135*Escalation!$B$4,0)</f>
        <v/>
      </c>
      <c r="N135">
        <f>IF(H135="Y",B135*D135*Escalation!$B$5,0)</f>
        <v/>
      </c>
      <c r="O135">
        <f>IF(I135="Y",B135*D135*Escalation!$B$6,0)</f>
        <v/>
      </c>
      <c r="P135">
        <f>IF(J135="Y",B135*D135*Escalation!$B$7,0)</f>
        <v/>
      </c>
      <c r="R135">
        <f>SUM(K135:P135)</f>
        <v/>
      </c>
    </row>
    <row r="136">
      <c r="K136">
        <f>IF(E136="Y",B136*D136*Escalation!$B$2,0)</f>
        <v/>
      </c>
      <c r="L136">
        <f>IF(F136="Y",B136*D136*Escalation!$B$3,0)</f>
        <v/>
      </c>
      <c r="M136">
        <f>IF(G136="Y",B136*D136*Escalation!$B$4,0)</f>
        <v/>
      </c>
      <c r="N136">
        <f>IF(H136="Y",B136*D136*Escalation!$B$5,0)</f>
        <v/>
      </c>
      <c r="O136">
        <f>IF(I136="Y",B136*D136*Escalation!$B$6,0)</f>
        <v/>
      </c>
      <c r="P136">
        <f>IF(J136="Y",B136*D136*Escalation!$B$7,0)</f>
        <v/>
      </c>
      <c r="R136">
        <f>SUM(K136:P136)</f>
        <v/>
      </c>
    </row>
    <row r="137">
      <c r="K137">
        <f>IF(E137="Y",B137*D137*Escalation!$B$2,0)</f>
        <v/>
      </c>
      <c r="L137">
        <f>IF(F137="Y",B137*D137*Escalation!$B$3,0)</f>
        <v/>
      </c>
      <c r="M137">
        <f>IF(G137="Y",B137*D137*Escalation!$B$4,0)</f>
        <v/>
      </c>
      <c r="N137">
        <f>IF(H137="Y",B137*D137*Escalation!$B$5,0)</f>
        <v/>
      </c>
      <c r="O137">
        <f>IF(I137="Y",B137*D137*Escalation!$B$6,0)</f>
        <v/>
      </c>
      <c r="P137">
        <f>IF(J137="Y",B137*D137*Escalation!$B$7,0)</f>
        <v/>
      </c>
      <c r="R137">
        <f>SUM(K137:P137)</f>
        <v/>
      </c>
    </row>
    <row r="138">
      <c r="K138">
        <f>IF(E138="Y",B138*D138*Escalation!$B$2,0)</f>
        <v/>
      </c>
      <c r="L138">
        <f>IF(F138="Y",B138*D138*Escalation!$B$3,0)</f>
        <v/>
      </c>
      <c r="M138">
        <f>IF(G138="Y",B138*D138*Escalation!$B$4,0)</f>
        <v/>
      </c>
      <c r="N138">
        <f>IF(H138="Y",B138*D138*Escalation!$B$5,0)</f>
        <v/>
      </c>
      <c r="O138">
        <f>IF(I138="Y",B138*D138*Escalation!$B$6,0)</f>
        <v/>
      </c>
      <c r="P138">
        <f>IF(J138="Y",B138*D138*Escalation!$B$7,0)</f>
        <v/>
      </c>
      <c r="R138">
        <f>SUM(K138:P138)</f>
        <v/>
      </c>
    </row>
    <row r="139">
      <c r="K139">
        <f>IF(E139="Y",B139*D139*Escalation!$B$2,0)</f>
        <v/>
      </c>
      <c r="L139">
        <f>IF(F139="Y",B139*D139*Escalation!$B$3,0)</f>
        <v/>
      </c>
      <c r="M139">
        <f>IF(G139="Y",B139*D139*Escalation!$B$4,0)</f>
        <v/>
      </c>
      <c r="N139">
        <f>IF(H139="Y",B139*D139*Escalation!$B$5,0)</f>
        <v/>
      </c>
      <c r="O139">
        <f>IF(I139="Y",B139*D139*Escalation!$B$6,0)</f>
        <v/>
      </c>
      <c r="P139">
        <f>IF(J139="Y",B139*D139*Escalation!$B$7,0)</f>
        <v/>
      </c>
      <c r="R139">
        <f>SUM(K139:P139)</f>
        <v/>
      </c>
    </row>
    <row r="140">
      <c r="K140">
        <f>IF(E140="Y",B140*D140*Escalation!$B$2,0)</f>
        <v/>
      </c>
      <c r="L140">
        <f>IF(F140="Y",B140*D140*Escalation!$B$3,0)</f>
        <v/>
      </c>
      <c r="M140">
        <f>IF(G140="Y",B140*D140*Escalation!$B$4,0)</f>
        <v/>
      </c>
      <c r="N140">
        <f>IF(H140="Y",B140*D140*Escalation!$B$5,0)</f>
        <v/>
      </c>
      <c r="O140">
        <f>IF(I140="Y",B140*D140*Escalation!$B$6,0)</f>
        <v/>
      </c>
      <c r="P140">
        <f>IF(J140="Y",B140*D140*Escalation!$B$7,0)</f>
        <v/>
      </c>
      <c r="R140">
        <f>SUM(K140:P140)</f>
        <v/>
      </c>
    </row>
    <row r="141">
      <c r="K141">
        <f>IF(E141="Y",B141*D141*Escalation!$B$2,0)</f>
        <v/>
      </c>
      <c r="L141">
        <f>IF(F141="Y",B141*D141*Escalation!$B$3,0)</f>
        <v/>
      </c>
      <c r="M141">
        <f>IF(G141="Y",B141*D141*Escalation!$B$4,0)</f>
        <v/>
      </c>
      <c r="N141">
        <f>IF(H141="Y",B141*D141*Escalation!$B$5,0)</f>
        <v/>
      </c>
      <c r="O141">
        <f>IF(I141="Y",B141*D141*Escalation!$B$6,0)</f>
        <v/>
      </c>
      <c r="P141">
        <f>IF(J141="Y",B141*D141*Escalation!$B$7,0)</f>
        <v/>
      </c>
      <c r="R141">
        <f>SUM(K141:P141)</f>
        <v/>
      </c>
    </row>
    <row r="142">
      <c r="K142">
        <f>IF(E142="Y",B142*D142*Escalation!$B$2,0)</f>
        <v/>
      </c>
      <c r="L142">
        <f>IF(F142="Y",B142*D142*Escalation!$B$3,0)</f>
        <v/>
      </c>
      <c r="M142">
        <f>IF(G142="Y",B142*D142*Escalation!$B$4,0)</f>
        <v/>
      </c>
      <c r="N142">
        <f>IF(H142="Y",B142*D142*Escalation!$B$5,0)</f>
        <v/>
      </c>
      <c r="O142">
        <f>IF(I142="Y",B142*D142*Escalation!$B$6,0)</f>
        <v/>
      </c>
      <c r="P142">
        <f>IF(J142="Y",B142*D142*Escalation!$B$7,0)</f>
        <v/>
      </c>
      <c r="R142">
        <f>SUM(K142:P142)</f>
        <v/>
      </c>
    </row>
    <row r="143">
      <c r="K143">
        <f>IF(E143="Y",B143*D143*Escalation!$B$2,0)</f>
        <v/>
      </c>
      <c r="L143">
        <f>IF(F143="Y",B143*D143*Escalation!$B$3,0)</f>
        <v/>
      </c>
      <c r="M143">
        <f>IF(G143="Y",B143*D143*Escalation!$B$4,0)</f>
        <v/>
      </c>
      <c r="N143">
        <f>IF(H143="Y",B143*D143*Escalation!$B$5,0)</f>
        <v/>
      </c>
      <c r="O143">
        <f>IF(I143="Y",B143*D143*Escalation!$B$6,0)</f>
        <v/>
      </c>
      <c r="P143">
        <f>IF(J143="Y",B143*D143*Escalation!$B$7,0)</f>
        <v/>
      </c>
      <c r="R143">
        <f>SUM(K143:P143)</f>
        <v/>
      </c>
    </row>
    <row r="144">
      <c r="K144">
        <f>IF(E144="Y",B144*D144*Escalation!$B$2,0)</f>
        <v/>
      </c>
      <c r="L144">
        <f>IF(F144="Y",B144*D144*Escalation!$B$3,0)</f>
        <v/>
      </c>
      <c r="M144">
        <f>IF(G144="Y",B144*D144*Escalation!$B$4,0)</f>
        <v/>
      </c>
      <c r="N144">
        <f>IF(H144="Y",B144*D144*Escalation!$B$5,0)</f>
        <v/>
      </c>
      <c r="O144">
        <f>IF(I144="Y",B144*D144*Escalation!$B$6,0)</f>
        <v/>
      </c>
      <c r="P144">
        <f>IF(J144="Y",B144*D144*Escalation!$B$7,0)</f>
        <v/>
      </c>
      <c r="R144">
        <f>SUM(K144:P144)</f>
        <v/>
      </c>
    </row>
    <row r="145">
      <c r="K145">
        <f>IF(E145="Y",B145*D145*Escalation!$B$2,0)</f>
        <v/>
      </c>
      <c r="L145">
        <f>IF(F145="Y",B145*D145*Escalation!$B$3,0)</f>
        <v/>
      </c>
      <c r="M145">
        <f>IF(G145="Y",B145*D145*Escalation!$B$4,0)</f>
        <v/>
      </c>
      <c r="N145">
        <f>IF(H145="Y",B145*D145*Escalation!$B$5,0)</f>
        <v/>
      </c>
      <c r="O145">
        <f>IF(I145="Y",B145*D145*Escalation!$B$6,0)</f>
        <v/>
      </c>
      <c r="P145">
        <f>IF(J145="Y",B145*D145*Escalation!$B$7,0)</f>
        <v/>
      </c>
      <c r="R145">
        <f>SUM(K145:P145)</f>
        <v/>
      </c>
    </row>
    <row r="146">
      <c r="K146">
        <f>IF(E146="Y",B146*D146*Escalation!$B$2,0)</f>
        <v/>
      </c>
      <c r="L146">
        <f>IF(F146="Y",B146*D146*Escalation!$B$3,0)</f>
        <v/>
      </c>
      <c r="M146">
        <f>IF(G146="Y",B146*D146*Escalation!$B$4,0)</f>
        <v/>
      </c>
      <c r="N146">
        <f>IF(H146="Y",B146*D146*Escalation!$B$5,0)</f>
        <v/>
      </c>
      <c r="O146">
        <f>IF(I146="Y",B146*D146*Escalation!$B$6,0)</f>
        <v/>
      </c>
      <c r="P146">
        <f>IF(J146="Y",B146*D146*Escalation!$B$7,0)</f>
        <v/>
      </c>
      <c r="R146">
        <f>SUM(K146:P146)</f>
        <v/>
      </c>
    </row>
    <row r="147">
      <c r="K147">
        <f>IF(E147="Y",B147*D147*Escalation!$B$2,0)</f>
        <v/>
      </c>
      <c r="L147">
        <f>IF(F147="Y",B147*D147*Escalation!$B$3,0)</f>
        <v/>
      </c>
      <c r="M147">
        <f>IF(G147="Y",B147*D147*Escalation!$B$4,0)</f>
        <v/>
      </c>
      <c r="N147">
        <f>IF(H147="Y",B147*D147*Escalation!$B$5,0)</f>
        <v/>
      </c>
      <c r="O147">
        <f>IF(I147="Y",B147*D147*Escalation!$B$6,0)</f>
        <v/>
      </c>
      <c r="P147">
        <f>IF(J147="Y",B147*D147*Escalation!$B$7,0)</f>
        <v/>
      </c>
      <c r="R147">
        <f>SUM(K147:P147)</f>
        <v/>
      </c>
    </row>
    <row r="148">
      <c r="K148">
        <f>IF(E148="Y",B148*D148*Escalation!$B$2,0)</f>
        <v/>
      </c>
      <c r="L148">
        <f>IF(F148="Y",B148*D148*Escalation!$B$3,0)</f>
        <v/>
      </c>
      <c r="M148">
        <f>IF(G148="Y",B148*D148*Escalation!$B$4,0)</f>
        <v/>
      </c>
      <c r="N148">
        <f>IF(H148="Y",B148*D148*Escalation!$B$5,0)</f>
        <v/>
      </c>
      <c r="O148">
        <f>IF(I148="Y",B148*D148*Escalation!$B$6,0)</f>
        <v/>
      </c>
      <c r="P148">
        <f>IF(J148="Y",B148*D148*Escalation!$B$7,0)</f>
        <v/>
      </c>
      <c r="R148">
        <f>SUM(K148:P148)</f>
        <v/>
      </c>
    </row>
    <row r="149">
      <c r="K149">
        <f>IF(E149="Y",B149*D149*Escalation!$B$2,0)</f>
        <v/>
      </c>
      <c r="L149">
        <f>IF(F149="Y",B149*D149*Escalation!$B$3,0)</f>
        <v/>
      </c>
      <c r="M149">
        <f>IF(G149="Y",B149*D149*Escalation!$B$4,0)</f>
        <v/>
      </c>
      <c r="N149">
        <f>IF(H149="Y",B149*D149*Escalation!$B$5,0)</f>
        <v/>
      </c>
      <c r="O149">
        <f>IF(I149="Y",B149*D149*Escalation!$B$6,0)</f>
        <v/>
      </c>
      <c r="P149">
        <f>IF(J149="Y",B149*D149*Escalation!$B$7,0)</f>
        <v/>
      </c>
      <c r="R149">
        <f>SUM(K149:P149)</f>
        <v/>
      </c>
    </row>
    <row r="150">
      <c r="K150">
        <f>IF(E150="Y",B150*D150*Escalation!$B$2,0)</f>
        <v/>
      </c>
      <c r="L150">
        <f>IF(F150="Y",B150*D150*Escalation!$B$3,0)</f>
        <v/>
      </c>
      <c r="M150">
        <f>IF(G150="Y",B150*D150*Escalation!$B$4,0)</f>
        <v/>
      </c>
      <c r="N150">
        <f>IF(H150="Y",B150*D150*Escalation!$B$5,0)</f>
        <v/>
      </c>
      <c r="O150">
        <f>IF(I150="Y",B150*D150*Escalation!$B$6,0)</f>
        <v/>
      </c>
      <c r="P150">
        <f>IF(J150="Y",B150*D150*Escalation!$B$7,0)</f>
        <v/>
      </c>
      <c r="R150">
        <f>SUM(K150:P150)</f>
        <v/>
      </c>
    </row>
    <row r="151">
      <c r="K151">
        <f>IF(E151="Y",B151*D151*Escalation!$B$2,0)</f>
        <v/>
      </c>
      <c r="L151">
        <f>IF(F151="Y",B151*D151*Escalation!$B$3,0)</f>
        <v/>
      </c>
      <c r="M151">
        <f>IF(G151="Y",B151*D151*Escalation!$B$4,0)</f>
        <v/>
      </c>
      <c r="N151">
        <f>IF(H151="Y",B151*D151*Escalation!$B$5,0)</f>
        <v/>
      </c>
      <c r="O151">
        <f>IF(I151="Y",B151*D151*Escalation!$B$6,0)</f>
        <v/>
      </c>
      <c r="P151">
        <f>IF(J151="Y",B151*D151*Escalation!$B$7,0)</f>
        <v/>
      </c>
      <c r="R151">
        <f>SUM(K151:P151)</f>
        <v/>
      </c>
    </row>
    <row r="152">
      <c r="K152">
        <f>IF(E152="Y",B152*D152*Escalation!$B$2,0)</f>
        <v/>
      </c>
      <c r="L152">
        <f>IF(F152="Y",B152*D152*Escalation!$B$3,0)</f>
        <v/>
      </c>
      <c r="M152">
        <f>IF(G152="Y",B152*D152*Escalation!$B$4,0)</f>
        <v/>
      </c>
      <c r="N152">
        <f>IF(H152="Y",B152*D152*Escalation!$B$5,0)</f>
        <v/>
      </c>
      <c r="O152">
        <f>IF(I152="Y",B152*D152*Escalation!$B$6,0)</f>
        <v/>
      </c>
      <c r="P152">
        <f>IF(J152="Y",B152*D152*Escalation!$B$7,0)</f>
        <v/>
      </c>
      <c r="R152">
        <f>SUM(K152:P152)</f>
        <v/>
      </c>
    </row>
    <row r="153">
      <c r="K153">
        <f>IF(E153="Y",B153*D153*Escalation!$B$2,0)</f>
        <v/>
      </c>
      <c r="L153">
        <f>IF(F153="Y",B153*D153*Escalation!$B$3,0)</f>
        <v/>
      </c>
      <c r="M153">
        <f>IF(G153="Y",B153*D153*Escalation!$B$4,0)</f>
        <v/>
      </c>
      <c r="N153">
        <f>IF(H153="Y",B153*D153*Escalation!$B$5,0)</f>
        <v/>
      </c>
      <c r="O153">
        <f>IF(I153="Y",B153*D153*Escalation!$B$6,0)</f>
        <v/>
      </c>
      <c r="P153">
        <f>IF(J153="Y",B153*D153*Escalation!$B$7,0)</f>
        <v/>
      </c>
      <c r="R153">
        <f>SUM(K153:P153)</f>
        <v/>
      </c>
    </row>
    <row r="154">
      <c r="K154">
        <f>IF(E154="Y",B154*D154*Escalation!$B$2,0)</f>
        <v/>
      </c>
      <c r="L154">
        <f>IF(F154="Y",B154*D154*Escalation!$B$3,0)</f>
        <v/>
      </c>
      <c r="M154">
        <f>IF(G154="Y",B154*D154*Escalation!$B$4,0)</f>
        <v/>
      </c>
      <c r="N154">
        <f>IF(H154="Y",B154*D154*Escalation!$B$5,0)</f>
        <v/>
      </c>
      <c r="O154">
        <f>IF(I154="Y",B154*D154*Escalation!$B$6,0)</f>
        <v/>
      </c>
      <c r="P154">
        <f>IF(J154="Y",B154*D154*Escalation!$B$7,0)</f>
        <v/>
      </c>
      <c r="R154">
        <f>SUM(K154:P154)</f>
        <v/>
      </c>
    </row>
    <row r="155">
      <c r="K155">
        <f>IF(E155="Y",B155*D155*Escalation!$B$2,0)</f>
        <v/>
      </c>
      <c r="L155">
        <f>IF(F155="Y",B155*D155*Escalation!$B$3,0)</f>
        <v/>
      </c>
      <c r="M155">
        <f>IF(G155="Y",B155*D155*Escalation!$B$4,0)</f>
        <v/>
      </c>
      <c r="N155">
        <f>IF(H155="Y",B155*D155*Escalation!$B$5,0)</f>
        <v/>
      </c>
      <c r="O155">
        <f>IF(I155="Y",B155*D155*Escalation!$B$6,0)</f>
        <v/>
      </c>
      <c r="P155">
        <f>IF(J155="Y",B155*D155*Escalation!$B$7,0)</f>
        <v/>
      </c>
      <c r="R155">
        <f>SUM(K155:P155)</f>
        <v/>
      </c>
    </row>
    <row r="156">
      <c r="K156">
        <f>IF(E156="Y",B156*D156*Escalation!$B$2,0)</f>
        <v/>
      </c>
      <c r="L156">
        <f>IF(F156="Y",B156*D156*Escalation!$B$3,0)</f>
        <v/>
      </c>
      <c r="M156">
        <f>IF(G156="Y",B156*D156*Escalation!$B$4,0)</f>
        <v/>
      </c>
      <c r="N156">
        <f>IF(H156="Y",B156*D156*Escalation!$B$5,0)</f>
        <v/>
      </c>
      <c r="O156">
        <f>IF(I156="Y",B156*D156*Escalation!$B$6,0)</f>
        <v/>
      </c>
      <c r="P156">
        <f>IF(J156="Y",B156*D156*Escalation!$B$7,0)</f>
        <v/>
      </c>
      <c r="R156">
        <f>SUM(K156:P156)</f>
        <v/>
      </c>
    </row>
    <row r="157">
      <c r="K157">
        <f>IF(E157="Y",B157*D157*Escalation!$B$2,0)</f>
        <v/>
      </c>
      <c r="L157">
        <f>IF(F157="Y",B157*D157*Escalation!$B$3,0)</f>
        <v/>
      </c>
      <c r="M157">
        <f>IF(G157="Y",B157*D157*Escalation!$B$4,0)</f>
        <v/>
      </c>
      <c r="N157">
        <f>IF(H157="Y",B157*D157*Escalation!$B$5,0)</f>
        <v/>
      </c>
      <c r="O157">
        <f>IF(I157="Y",B157*D157*Escalation!$B$6,0)</f>
        <v/>
      </c>
      <c r="P157">
        <f>IF(J157="Y",B157*D157*Escalation!$B$7,0)</f>
        <v/>
      </c>
      <c r="R157">
        <f>SUM(K157:P157)</f>
        <v/>
      </c>
    </row>
    <row r="158">
      <c r="K158">
        <f>IF(E158="Y",B158*D158*Escalation!$B$2,0)</f>
        <v/>
      </c>
      <c r="L158">
        <f>IF(F158="Y",B158*D158*Escalation!$B$3,0)</f>
        <v/>
      </c>
      <c r="M158">
        <f>IF(G158="Y",B158*D158*Escalation!$B$4,0)</f>
        <v/>
      </c>
      <c r="N158">
        <f>IF(H158="Y",B158*D158*Escalation!$B$5,0)</f>
        <v/>
      </c>
      <c r="O158">
        <f>IF(I158="Y",B158*D158*Escalation!$B$6,0)</f>
        <v/>
      </c>
      <c r="P158">
        <f>IF(J158="Y",B158*D158*Escalation!$B$7,0)</f>
        <v/>
      </c>
      <c r="R158">
        <f>SUM(K158:P158)</f>
        <v/>
      </c>
    </row>
    <row r="159">
      <c r="K159">
        <f>IF(E159="Y",B159*D159*Escalation!$B$2,0)</f>
        <v/>
      </c>
      <c r="L159">
        <f>IF(F159="Y",B159*D159*Escalation!$B$3,0)</f>
        <v/>
      </c>
      <c r="M159">
        <f>IF(G159="Y",B159*D159*Escalation!$B$4,0)</f>
        <v/>
      </c>
      <c r="N159">
        <f>IF(H159="Y",B159*D159*Escalation!$B$5,0)</f>
        <v/>
      </c>
      <c r="O159">
        <f>IF(I159="Y",B159*D159*Escalation!$B$6,0)</f>
        <v/>
      </c>
      <c r="P159">
        <f>IF(J159="Y",B159*D159*Escalation!$B$7,0)</f>
        <v/>
      </c>
      <c r="R159">
        <f>SUM(K159:P159)</f>
        <v/>
      </c>
    </row>
    <row r="160">
      <c r="K160">
        <f>IF(E160="Y",B160*D160*Escalation!$B$2,0)</f>
        <v/>
      </c>
      <c r="L160">
        <f>IF(F160="Y",B160*D160*Escalation!$B$3,0)</f>
        <v/>
      </c>
      <c r="M160">
        <f>IF(G160="Y",B160*D160*Escalation!$B$4,0)</f>
        <v/>
      </c>
      <c r="N160">
        <f>IF(H160="Y",B160*D160*Escalation!$B$5,0)</f>
        <v/>
      </c>
      <c r="O160">
        <f>IF(I160="Y",B160*D160*Escalation!$B$6,0)</f>
        <v/>
      </c>
      <c r="P160">
        <f>IF(J160="Y",B160*D160*Escalation!$B$7,0)</f>
        <v/>
      </c>
      <c r="R160">
        <f>SUM(K160:P160)</f>
        <v/>
      </c>
    </row>
    <row r="161">
      <c r="K161">
        <f>IF(E161="Y",B161*D161*Escalation!$B$2,0)</f>
        <v/>
      </c>
      <c r="L161">
        <f>IF(F161="Y",B161*D161*Escalation!$B$3,0)</f>
        <v/>
      </c>
      <c r="M161">
        <f>IF(G161="Y",B161*D161*Escalation!$B$4,0)</f>
        <v/>
      </c>
      <c r="N161">
        <f>IF(H161="Y",B161*D161*Escalation!$B$5,0)</f>
        <v/>
      </c>
      <c r="O161">
        <f>IF(I161="Y",B161*D161*Escalation!$B$6,0)</f>
        <v/>
      </c>
      <c r="P161">
        <f>IF(J161="Y",B161*D161*Escalation!$B$7,0)</f>
        <v/>
      </c>
      <c r="R161">
        <f>SUM(K161:P161)</f>
        <v/>
      </c>
    </row>
    <row r="162">
      <c r="K162">
        <f>IF(E162="Y",B162*D162*Escalation!$B$2,0)</f>
        <v/>
      </c>
      <c r="L162">
        <f>IF(F162="Y",B162*D162*Escalation!$B$3,0)</f>
        <v/>
      </c>
      <c r="M162">
        <f>IF(G162="Y",B162*D162*Escalation!$B$4,0)</f>
        <v/>
      </c>
      <c r="N162">
        <f>IF(H162="Y",B162*D162*Escalation!$B$5,0)</f>
        <v/>
      </c>
      <c r="O162">
        <f>IF(I162="Y",B162*D162*Escalation!$B$6,0)</f>
        <v/>
      </c>
      <c r="P162">
        <f>IF(J162="Y",B162*D162*Escalation!$B$7,0)</f>
        <v/>
      </c>
      <c r="R162">
        <f>SUM(K162:P162)</f>
        <v/>
      </c>
    </row>
    <row r="163">
      <c r="K163">
        <f>IF(E163="Y",B163*D163*Escalation!$B$2,0)</f>
        <v/>
      </c>
      <c r="L163">
        <f>IF(F163="Y",B163*D163*Escalation!$B$3,0)</f>
        <v/>
      </c>
      <c r="M163">
        <f>IF(G163="Y",B163*D163*Escalation!$B$4,0)</f>
        <v/>
      </c>
      <c r="N163">
        <f>IF(H163="Y",B163*D163*Escalation!$B$5,0)</f>
        <v/>
      </c>
      <c r="O163">
        <f>IF(I163="Y",B163*D163*Escalation!$B$6,0)</f>
        <v/>
      </c>
      <c r="P163">
        <f>IF(J163="Y",B163*D163*Escalation!$B$7,0)</f>
        <v/>
      </c>
      <c r="R163">
        <f>SUM(K163:P163)</f>
        <v/>
      </c>
    </row>
    <row r="164">
      <c r="K164">
        <f>IF(E164="Y",B164*D164*Escalation!$B$2,0)</f>
        <v/>
      </c>
      <c r="L164">
        <f>IF(F164="Y",B164*D164*Escalation!$B$3,0)</f>
        <v/>
      </c>
      <c r="M164">
        <f>IF(G164="Y",B164*D164*Escalation!$B$4,0)</f>
        <v/>
      </c>
      <c r="N164">
        <f>IF(H164="Y",B164*D164*Escalation!$B$5,0)</f>
        <v/>
      </c>
      <c r="O164">
        <f>IF(I164="Y",B164*D164*Escalation!$B$6,0)</f>
        <v/>
      </c>
      <c r="P164">
        <f>IF(J164="Y",B164*D164*Escalation!$B$7,0)</f>
        <v/>
      </c>
      <c r="R164">
        <f>SUM(K164:P164)</f>
        <v/>
      </c>
    </row>
    <row r="165">
      <c r="K165">
        <f>IF(E165="Y",B165*D165*Escalation!$B$2,0)</f>
        <v/>
      </c>
      <c r="L165">
        <f>IF(F165="Y",B165*D165*Escalation!$B$3,0)</f>
        <v/>
      </c>
      <c r="M165">
        <f>IF(G165="Y",B165*D165*Escalation!$B$4,0)</f>
        <v/>
      </c>
      <c r="N165">
        <f>IF(H165="Y",B165*D165*Escalation!$B$5,0)</f>
        <v/>
      </c>
      <c r="O165">
        <f>IF(I165="Y",B165*D165*Escalation!$B$6,0)</f>
        <v/>
      </c>
      <c r="P165">
        <f>IF(J165="Y",B165*D165*Escalation!$B$7,0)</f>
        <v/>
      </c>
      <c r="R165">
        <f>SUM(K165:P165)</f>
        <v/>
      </c>
    </row>
    <row r="166">
      <c r="K166">
        <f>IF(E166="Y",B166*D166*Escalation!$B$2,0)</f>
        <v/>
      </c>
      <c r="L166">
        <f>IF(F166="Y",B166*D166*Escalation!$B$3,0)</f>
        <v/>
      </c>
      <c r="M166">
        <f>IF(G166="Y",B166*D166*Escalation!$B$4,0)</f>
        <v/>
      </c>
      <c r="N166">
        <f>IF(H166="Y",B166*D166*Escalation!$B$5,0)</f>
        <v/>
      </c>
      <c r="O166">
        <f>IF(I166="Y",B166*D166*Escalation!$B$6,0)</f>
        <v/>
      </c>
      <c r="P166">
        <f>IF(J166="Y",B166*D166*Escalation!$B$7,0)</f>
        <v/>
      </c>
      <c r="R166">
        <f>SUM(K166:P166)</f>
        <v/>
      </c>
    </row>
    <row r="167">
      <c r="K167">
        <f>IF(E167="Y",B167*D167*Escalation!$B$2,0)</f>
        <v/>
      </c>
      <c r="L167">
        <f>IF(F167="Y",B167*D167*Escalation!$B$3,0)</f>
        <v/>
      </c>
      <c r="M167">
        <f>IF(G167="Y",B167*D167*Escalation!$B$4,0)</f>
        <v/>
      </c>
      <c r="N167">
        <f>IF(H167="Y",B167*D167*Escalation!$B$5,0)</f>
        <v/>
      </c>
      <c r="O167">
        <f>IF(I167="Y",B167*D167*Escalation!$B$6,0)</f>
        <v/>
      </c>
      <c r="P167">
        <f>IF(J167="Y",B167*D167*Escalation!$B$7,0)</f>
        <v/>
      </c>
      <c r="R167">
        <f>SUM(K167:P167)</f>
        <v/>
      </c>
    </row>
    <row r="168">
      <c r="K168">
        <f>IF(E168="Y",B168*D168*Escalation!$B$2,0)</f>
        <v/>
      </c>
      <c r="L168">
        <f>IF(F168="Y",B168*D168*Escalation!$B$3,0)</f>
        <v/>
      </c>
      <c r="M168">
        <f>IF(G168="Y",B168*D168*Escalation!$B$4,0)</f>
        <v/>
      </c>
      <c r="N168">
        <f>IF(H168="Y",B168*D168*Escalation!$B$5,0)</f>
        <v/>
      </c>
      <c r="O168">
        <f>IF(I168="Y",B168*D168*Escalation!$B$6,0)</f>
        <v/>
      </c>
      <c r="P168">
        <f>IF(J168="Y",B168*D168*Escalation!$B$7,0)</f>
        <v/>
      </c>
      <c r="R168">
        <f>SUM(K168:P168)</f>
        <v/>
      </c>
    </row>
    <row r="169">
      <c r="K169">
        <f>IF(E169="Y",B169*D169*Escalation!$B$2,0)</f>
        <v/>
      </c>
      <c r="L169">
        <f>IF(F169="Y",B169*D169*Escalation!$B$3,0)</f>
        <v/>
      </c>
      <c r="M169">
        <f>IF(G169="Y",B169*D169*Escalation!$B$4,0)</f>
        <v/>
      </c>
      <c r="N169">
        <f>IF(H169="Y",B169*D169*Escalation!$B$5,0)</f>
        <v/>
      </c>
      <c r="O169">
        <f>IF(I169="Y",B169*D169*Escalation!$B$6,0)</f>
        <v/>
      </c>
      <c r="P169">
        <f>IF(J169="Y",B169*D169*Escalation!$B$7,0)</f>
        <v/>
      </c>
      <c r="R169">
        <f>SUM(K169:P169)</f>
        <v/>
      </c>
    </row>
    <row r="170">
      <c r="K170">
        <f>IF(E170="Y",B170*D170*Escalation!$B$2,0)</f>
        <v/>
      </c>
      <c r="L170">
        <f>IF(F170="Y",B170*D170*Escalation!$B$3,0)</f>
        <v/>
      </c>
      <c r="M170">
        <f>IF(G170="Y",B170*D170*Escalation!$B$4,0)</f>
        <v/>
      </c>
      <c r="N170">
        <f>IF(H170="Y",B170*D170*Escalation!$B$5,0)</f>
        <v/>
      </c>
      <c r="O170">
        <f>IF(I170="Y",B170*D170*Escalation!$B$6,0)</f>
        <v/>
      </c>
      <c r="P170">
        <f>IF(J170="Y",B170*D170*Escalation!$B$7,0)</f>
        <v/>
      </c>
      <c r="R170">
        <f>SUM(K170:P170)</f>
        <v/>
      </c>
    </row>
    <row r="171">
      <c r="K171">
        <f>IF(E171="Y",B171*D171*Escalation!$B$2,0)</f>
        <v/>
      </c>
      <c r="L171">
        <f>IF(F171="Y",B171*D171*Escalation!$B$3,0)</f>
        <v/>
      </c>
      <c r="M171">
        <f>IF(G171="Y",B171*D171*Escalation!$B$4,0)</f>
        <v/>
      </c>
      <c r="N171">
        <f>IF(H171="Y",B171*D171*Escalation!$B$5,0)</f>
        <v/>
      </c>
      <c r="O171">
        <f>IF(I171="Y",B171*D171*Escalation!$B$6,0)</f>
        <v/>
      </c>
      <c r="P171">
        <f>IF(J171="Y",B171*D171*Escalation!$B$7,0)</f>
        <v/>
      </c>
      <c r="R171">
        <f>SUM(K171:P171)</f>
        <v/>
      </c>
    </row>
    <row r="172">
      <c r="K172">
        <f>IF(E172="Y",B172*D172*Escalation!$B$2,0)</f>
        <v/>
      </c>
      <c r="L172">
        <f>IF(F172="Y",B172*D172*Escalation!$B$3,0)</f>
        <v/>
      </c>
      <c r="M172">
        <f>IF(G172="Y",B172*D172*Escalation!$B$4,0)</f>
        <v/>
      </c>
      <c r="N172">
        <f>IF(H172="Y",B172*D172*Escalation!$B$5,0)</f>
        <v/>
      </c>
      <c r="O172">
        <f>IF(I172="Y",B172*D172*Escalation!$B$6,0)</f>
        <v/>
      </c>
      <c r="P172">
        <f>IF(J172="Y",B172*D172*Escalation!$B$7,0)</f>
        <v/>
      </c>
      <c r="R172">
        <f>SUM(K172:P172)</f>
        <v/>
      </c>
    </row>
    <row r="173">
      <c r="K173">
        <f>IF(E173="Y",B173*D173*Escalation!$B$2,0)</f>
        <v/>
      </c>
      <c r="L173">
        <f>IF(F173="Y",B173*D173*Escalation!$B$3,0)</f>
        <v/>
      </c>
      <c r="M173">
        <f>IF(G173="Y",B173*D173*Escalation!$B$4,0)</f>
        <v/>
      </c>
      <c r="N173">
        <f>IF(H173="Y",B173*D173*Escalation!$B$5,0)</f>
        <v/>
      </c>
      <c r="O173">
        <f>IF(I173="Y",B173*D173*Escalation!$B$6,0)</f>
        <v/>
      </c>
      <c r="P173">
        <f>IF(J173="Y",B173*D173*Escalation!$B$7,0)</f>
        <v/>
      </c>
      <c r="R173">
        <f>SUM(K173:P173)</f>
        <v/>
      </c>
    </row>
    <row r="174">
      <c r="K174">
        <f>IF(E174="Y",B174*D174*Escalation!$B$2,0)</f>
        <v/>
      </c>
      <c r="L174">
        <f>IF(F174="Y",B174*D174*Escalation!$B$3,0)</f>
        <v/>
      </c>
      <c r="M174">
        <f>IF(G174="Y",B174*D174*Escalation!$B$4,0)</f>
        <v/>
      </c>
      <c r="N174">
        <f>IF(H174="Y",B174*D174*Escalation!$B$5,0)</f>
        <v/>
      </c>
      <c r="O174">
        <f>IF(I174="Y",B174*D174*Escalation!$B$6,0)</f>
        <v/>
      </c>
      <c r="P174">
        <f>IF(J174="Y",B174*D174*Escalation!$B$7,0)</f>
        <v/>
      </c>
      <c r="R174">
        <f>SUM(K174:P174)</f>
        <v/>
      </c>
    </row>
    <row r="175">
      <c r="K175">
        <f>IF(E175="Y",B175*D175*Escalation!$B$2,0)</f>
        <v/>
      </c>
      <c r="L175">
        <f>IF(F175="Y",B175*D175*Escalation!$B$3,0)</f>
        <v/>
      </c>
      <c r="M175">
        <f>IF(G175="Y",B175*D175*Escalation!$B$4,0)</f>
        <v/>
      </c>
      <c r="N175">
        <f>IF(H175="Y",B175*D175*Escalation!$B$5,0)</f>
        <v/>
      </c>
      <c r="O175">
        <f>IF(I175="Y",B175*D175*Escalation!$B$6,0)</f>
        <v/>
      </c>
      <c r="P175">
        <f>IF(J175="Y",B175*D175*Escalation!$B$7,0)</f>
        <v/>
      </c>
      <c r="R175">
        <f>SUM(K175:P175)</f>
        <v/>
      </c>
    </row>
    <row r="176">
      <c r="K176">
        <f>IF(E176="Y",B176*D176*Escalation!$B$2,0)</f>
        <v/>
      </c>
      <c r="L176">
        <f>IF(F176="Y",B176*D176*Escalation!$B$3,0)</f>
        <v/>
      </c>
      <c r="M176">
        <f>IF(G176="Y",B176*D176*Escalation!$B$4,0)</f>
        <v/>
      </c>
      <c r="N176">
        <f>IF(H176="Y",B176*D176*Escalation!$B$5,0)</f>
        <v/>
      </c>
      <c r="O176">
        <f>IF(I176="Y",B176*D176*Escalation!$B$6,0)</f>
        <v/>
      </c>
      <c r="P176">
        <f>IF(J176="Y",B176*D176*Escalation!$B$7,0)</f>
        <v/>
      </c>
      <c r="R176">
        <f>SUM(K176:P176)</f>
        <v/>
      </c>
    </row>
    <row r="177">
      <c r="K177">
        <f>IF(E177="Y",B177*D177*Escalation!$B$2,0)</f>
        <v/>
      </c>
      <c r="L177">
        <f>IF(F177="Y",B177*D177*Escalation!$B$3,0)</f>
        <v/>
      </c>
      <c r="M177">
        <f>IF(G177="Y",B177*D177*Escalation!$B$4,0)</f>
        <v/>
      </c>
      <c r="N177">
        <f>IF(H177="Y",B177*D177*Escalation!$B$5,0)</f>
        <v/>
      </c>
      <c r="O177">
        <f>IF(I177="Y",B177*D177*Escalation!$B$6,0)</f>
        <v/>
      </c>
      <c r="P177">
        <f>IF(J177="Y",B177*D177*Escalation!$B$7,0)</f>
        <v/>
      </c>
      <c r="R177">
        <f>SUM(K177:P177)</f>
        <v/>
      </c>
    </row>
    <row r="178">
      <c r="K178">
        <f>IF(E178="Y",B178*D178*Escalation!$B$2,0)</f>
        <v/>
      </c>
      <c r="L178">
        <f>IF(F178="Y",B178*D178*Escalation!$B$3,0)</f>
        <v/>
      </c>
      <c r="M178">
        <f>IF(G178="Y",B178*D178*Escalation!$B$4,0)</f>
        <v/>
      </c>
      <c r="N178">
        <f>IF(H178="Y",B178*D178*Escalation!$B$5,0)</f>
        <v/>
      </c>
      <c r="O178">
        <f>IF(I178="Y",B178*D178*Escalation!$B$6,0)</f>
        <v/>
      </c>
      <c r="P178">
        <f>IF(J178="Y",B178*D178*Escalation!$B$7,0)</f>
        <v/>
      </c>
      <c r="R178">
        <f>SUM(K178:P178)</f>
        <v/>
      </c>
    </row>
    <row r="179">
      <c r="K179">
        <f>IF(E179="Y",B179*D179*Escalation!$B$2,0)</f>
        <v/>
      </c>
      <c r="L179">
        <f>IF(F179="Y",B179*D179*Escalation!$B$3,0)</f>
        <v/>
      </c>
      <c r="M179">
        <f>IF(G179="Y",B179*D179*Escalation!$B$4,0)</f>
        <v/>
      </c>
      <c r="N179">
        <f>IF(H179="Y",B179*D179*Escalation!$B$5,0)</f>
        <v/>
      </c>
      <c r="O179">
        <f>IF(I179="Y",B179*D179*Escalation!$B$6,0)</f>
        <v/>
      </c>
      <c r="P179">
        <f>IF(J179="Y",B179*D179*Escalation!$B$7,0)</f>
        <v/>
      </c>
      <c r="R179">
        <f>SUM(K179:P179)</f>
        <v/>
      </c>
    </row>
    <row r="180">
      <c r="K180">
        <f>IF(E180="Y",B180*D180*Escalation!$B$2,0)</f>
        <v/>
      </c>
      <c r="L180">
        <f>IF(F180="Y",B180*D180*Escalation!$B$3,0)</f>
        <v/>
      </c>
      <c r="M180">
        <f>IF(G180="Y",B180*D180*Escalation!$B$4,0)</f>
        <v/>
      </c>
      <c r="N180">
        <f>IF(H180="Y",B180*D180*Escalation!$B$5,0)</f>
        <v/>
      </c>
      <c r="O180">
        <f>IF(I180="Y",B180*D180*Escalation!$B$6,0)</f>
        <v/>
      </c>
      <c r="P180">
        <f>IF(J180="Y",B180*D180*Escalation!$B$7,0)</f>
        <v/>
      </c>
      <c r="R180">
        <f>SUM(K180:P180)</f>
        <v/>
      </c>
    </row>
    <row r="181">
      <c r="K181">
        <f>IF(E181="Y",B181*D181*Escalation!$B$2,0)</f>
        <v/>
      </c>
      <c r="L181">
        <f>IF(F181="Y",B181*D181*Escalation!$B$3,0)</f>
        <v/>
      </c>
      <c r="M181">
        <f>IF(G181="Y",B181*D181*Escalation!$B$4,0)</f>
        <v/>
      </c>
      <c r="N181">
        <f>IF(H181="Y",B181*D181*Escalation!$B$5,0)</f>
        <v/>
      </c>
      <c r="O181">
        <f>IF(I181="Y",B181*D181*Escalation!$B$6,0)</f>
        <v/>
      </c>
      <c r="P181">
        <f>IF(J181="Y",B181*D181*Escalation!$B$7,0)</f>
        <v/>
      </c>
      <c r="R181">
        <f>SUM(K181:P181)</f>
        <v/>
      </c>
    </row>
    <row r="182">
      <c r="K182">
        <f>IF(E182="Y",B182*D182*Escalation!$B$2,0)</f>
        <v/>
      </c>
      <c r="L182">
        <f>IF(F182="Y",B182*D182*Escalation!$B$3,0)</f>
        <v/>
      </c>
      <c r="M182">
        <f>IF(G182="Y",B182*D182*Escalation!$B$4,0)</f>
        <v/>
      </c>
      <c r="N182">
        <f>IF(H182="Y",B182*D182*Escalation!$B$5,0)</f>
        <v/>
      </c>
      <c r="O182">
        <f>IF(I182="Y",B182*D182*Escalation!$B$6,0)</f>
        <v/>
      </c>
      <c r="P182">
        <f>IF(J182="Y",B182*D182*Escalation!$B$7,0)</f>
        <v/>
      </c>
      <c r="R182">
        <f>SUM(K182:P182)</f>
        <v/>
      </c>
    </row>
    <row r="183">
      <c r="K183">
        <f>IF(E183="Y",B183*D183*Escalation!$B$2,0)</f>
        <v/>
      </c>
      <c r="L183">
        <f>IF(F183="Y",B183*D183*Escalation!$B$3,0)</f>
        <v/>
      </c>
      <c r="M183">
        <f>IF(G183="Y",B183*D183*Escalation!$B$4,0)</f>
        <v/>
      </c>
      <c r="N183">
        <f>IF(H183="Y",B183*D183*Escalation!$B$5,0)</f>
        <v/>
      </c>
      <c r="O183">
        <f>IF(I183="Y",B183*D183*Escalation!$B$6,0)</f>
        <v/>
      </c>
      <c r="P183">
        <f>IF(J183="Y",B183*D183*Escalation!$B$7,0)</f>
        <v/>
      </c>
      <c r="R183">
        <f>SUM(K183:P183)</f>
        <v/>
      </c>
    </row>
    <row r="184">
      <c r="K184">
        <f>IF(E184="Y",B184*D184*Escalation!$B$2,0)</f>
        <v/>
      </c>
      <c r="L184">
        <f>IF(F184="Y",B184*D184*Escalation!$B$3,0)</f>
        <v/>
      </c>
      <c r="M184">
        <f>IF(G184="Y",B184*D184*Escalation!$B$4,0)</f>
        <v/>
      </c>
      <c r="N184">
        <f>IF(H184="Y",B184*D184*Escalation!$B$5,0)</f>
        <v/>
      </c>
      <c r="O184">
        <f>IF(I184="Y",B184*D184*Escalation!$B$6,0)</f>
        <v/>
      </c>
      <c r="P184">
        <f>IF(J184="Y",B184*D184*Escalation!$B$7,0)</f>
        <v/>
      </c>
      <c r="R184">
        <f>SUM(K184:P184)</f>
        <v/>
      </c>
    </row>
    <row r="185">
      <c r="K185">
        <f>IF(E185="Y",B185*D185*Escalation!$B$2,0)</f>
        <v/>
      </c>
      <c r="L185">
        <f>IF(F185="Y",B185*D185*Escalation!$B$3,0)</f>
        <v/>
      </c>
      <c r="M185">
        <f>IF(G185="Y",B185*D185*Escalation!$B$4,0)</f>
        <v/>
      </c>
      <c r="N185">
        <f>IF(H185="Y",B185*D185*Escalation!$B$5,0)</f>
        <v/>
      </c>
      <c r="O185">
        <f>IF(I185="Y",B185*D185*Escalation!$B$6,0)</f>
        <v/>
      </c>
      <c r="P185">
        <f>IF(J185="Y",B185*D185*Escalation!$B$7,0)</f>
        <v/>
      </c>
      <c r="R185">
        <f>SUM(K185:P185)</f>
        <v/>
      </c>
    </row>
    <row r="186">
      <c r="K186">
        <f>IF(E186="Y",B186*D186*Escalation!$B$2,0)</f>
        <v/>
      </c>
      <c r="L186">
        <f>IF(F186="Y",B186*D186*Escalation!$B$3,0)</f>
        <v/>
      </c>
      <c r="M186">
        <f>IF(G186="Y",B186*D186*Escalation!$B$4,0)</f>
        <v/>
      </c>
      <c r="N186">
        <f>IF(H186="Y",B186*D186*Escalation!$B$5,0)</f>
        <v/>
      </c>
      <c r="O186">
        <f>IF(I186="Y",B186*D186*Escalation!$B$6,0)</f>
        <v/>
      </c>
      <c r="P186">
        <f>IF(J186="Y",B186*D186*Escalation!$B$7,0)</f>
        <v/>
      </c>
      <c r="R186">
        <f>SUM(K186:P186)</f>
        <v/>
      </c>
    </row>
    <row r="187">
      <c r="K187">
        <f>IF(E187="Y",B187*D187*Escalation!$B$2,0)</f>
        <v/>
      </c>
      <c r="L187">
        <f>IF(F187="Y",B187*D187*Escalation!$B$3,0)</f>
        <v/>
      </c>
      <c r="M187">
        <f>IF(G187="Y",B187*D187*Escalation!$B$4,0)</f>
        <v/>
      </c>
      <c r="N187">
        <f>IF(H187="Y",B187*D187*Escalation!$B$5,0)</f>
        <v/>
      </c>
      <c r="O187">
        <f>IF(I187="Y",B187*D187*Escalation!$B$6,0)</f>
        <v/>
      </c>
      <c r="P187">
        <f>IF(J187="Y",B187*D187*Escalation!$B$7,0)</f>
        <v/>
      </c>
      <c r="R187">
        <f>SUM(K187:P187)</f>
        <v/>
      </c>
    </row>
    <row r="188">
      <c r="K188">
        <f>IF(E188="Y",B188*D188*Escalation!$B$2,0)</f>
        <v/>
      </c>
      <c r="L188">
        <f>IF(F188="Y",B188*D188*Escalation!$B$3,0)</f>
        <v/>
      </c>
      <c r="M188">
        <f>IF(G188="Y",B188*D188*Escalation!$B$4,0)</f>
        <v/>
      </c>
      <c r="N188">
        <f>IF(H188="Y",B188*D188*Escalation!$B$5,0)</f>
        <v/>
      </c>
      <c r="O188">
        <f>IF(I188="Y",B188*D188*Escalation!$B$6,0)</f>
        <v/>
      </c>
      <c r="P188">
        <f>IF(J188="Y",B188*D188*Escalation!$B$7,0)</f>
        <v/>
      </c>
      <c r="R188">
        <f>SUM(K188:P188)</f>
        <v/>
      </c>
    </row>
    <row r="189">
      <c r="K189">
        <f>IF(E189="Y",B189*D189*Escalation!$B$2,0)</f>
        <v/>
      </c>
      <c r="L189">
        <f>IF(F189="Y",B189*D189*Escalation!$B$3,0)</f>
        <v/>
      </c>
      <c r="M189">
        <f>IF(G189="Y",B189*D189*Escalation!$B$4,0)</f>
        <v/>
      </c>
      <c r="N189">
        <f>IF(H189="Y",B189*D189*Escalation!$B$5,0)</f>
        <v/>
      </c>
      <c r="O189">
        <f>IF(I189="Y",B189*D189*Escalation!$B$6,0)</f>
        <v/>
      </c>
      <c r="P189">
        <f>IF(J189="Y",B189*D189*Escalation!$B$7,0)</f>
        <v/>
      </c>
      <c r="R189">
        <f>SUM(K189:P189)</f>
        <v/>
      </c>
    </row>
    <row r="190">
      <c r="K190">
        <f>IF(E190="Y",B190*D190*Escalation!$B$2,0)</f>
        <v/>
      </c>
      <c r="L190">
        <f>IF(F190="Y",B190*D190*Escalation!$B$3,0)</f>
        <v/>
      </c>
      <c r="M190">
        <f>IF(G190="Y",B190*D190*Escalation!$B$4,0)</f>
        <v/>
      </c>
      <c r="N190">
        <f>IF(H190="Y",B190*D190*Escalation!$B$5,0)</f>
        <v/>
      </c>
      <c r="O190">
        <f>IF(I190="Y",B190*D190*Escalation!$B$6,0)</f>
        <v/>
      </c>
      <c r="P190">
        <f>IF(J190="Y",B190*D190*Escalation!$B$7,0)</f>
        <v/>
      </c>
      <c r="R190">
        <f>SUM(K190:P190)</f>
        <v/>
      </c>
    </row>
    <row r="191">
      <c r="K191">
        <f>IF(E191="Y",B191*D191*Escalation!$B$2,0)</f>
        <v/>
      </c>
      <c r="L191">
        <f>IF(F191="Y",B191*D191*Escalation!$B$3,0)</f>
        <v/>
      </c>
      <c r="M191">
        <f>IF(G191="Y",B191*D191*Escalation!$B$4,0)</f>
        <v/>
      </c>
      <c r="N191">
        <f>IF(H191="Y",B191*D191*Escalation!$B$5,0)</f>
        <v/>
      </c>
      <c r="O191">
        <f>IF(I191="Y",B191*D191*Escalation!$B$6,0)</f>
        <v/>
      </c>
      <c r="P191">
        <f>IF(J191="Y",B191*D191*Escalation!$B$7,0)</f>
        <v/>
      </c>
      <c r="R191">
        <f>SUM(K191:P191)</f>
        <v/>
      </c>
    </row>
    <row r="192">
      <c r="K192">
        <f>IF(E192="Y",B192*D192*Escalation!$B$2,0)</f>
        <v/>
      </c>
      <c r="L192">
        <f>IF(F192="Y",B192*D192*Escalation!$B$3,0)</f>
        <v/>
      </c>
      <c r="M192">
        <f>IF(G192="Y",B192*D192*Escalation!$B$4,0)</f>
        <v/>
      </c>
      <c r="N192">
        <f>IF(H192="Y",B192*D192*Escalation!$B$5,0)</f>
        <v/>
      </c>
      <c r="O192">
        <f>IF(I192="Y",B192*D192*Escalation!$B$6,0)</f>
        <v/>
      </c>
      <c r="P192">
        <f>IF(J192="Y",B192*D192*Escalation!$B$7,0)</f>
        <v/>
      </c>
      <c r="R192">
        <f>SUM(K192:P192)</f>
        <v/>
      </c>
    </row>
    <row r="193">
      <c r="K193">
        <f>IF(E193="Y",B193*D193*Escalation!$B$2,0)</f>
        <v/>
      </c>
      <c r="L193">
        <f>IF(F193="Y",B193*D193*Escalation!$B$3,0)</f>
        <v/>
      </c>
      <c r="M193">
        <f>IF(G193="Y",B193*D193*Escalation!$B$4,0)</f>
        <v/>
      </c>
      <c r="N193">
        <f>IF(H193="Y",B193*D193*Escalation!$B$5,0)</f>
        <v/>
      </c>
      <c r="O193">
        <f>IF(I193="Y",B193*D193*Escalation!$B$6,0)</f>
        <v/>
      </c>
      <c r="P193">
        <f>IF(J193="Y",B193*D193*Escalation!$B$7,0)</f>
        <v/>
      </c>
      <c r="R193">
        <f>SUM(K193:P193)</f>
        <v/>
      </c>
    </row>
    <row r="194">
      <c r="K194">
        <f>IF(E194="Y",B194*D194*Escalation!$B$2,0)</f>
        <v/>
      </c>
      <c r="L194">
        <f>IF(F194="Y",B194*D194*Escalation!$B$3,0)</f>
        <v/>
      </c>
      <c r="M194">
        <f>IF(G194="Y",B194*D194*Escalation!$B$4,0)</f>
        <v/>
      </c>
      <c r="N194">
        <f>IF(H194="Y",B194*D194*Escalation!$B$5,0)</f>
        <v/>
      </c>
      <c r="O194">
        <f>IF(I194="Y",B194*D194*Escalation!$B$6,0)</f>
        <v/>
      </c>
      <c r="P194">
        <f>IF(J194="Y",B194*D194*Escalation!$B$7,0)</f>
        <v/>
      </c>
      <c r="R194">
        <f>SUM(K194:P194)</f>
        <v/>
      </c>
    </row>
    <row r="195">
      <c r="K195">
        <f>IF(E195="Y",B195*D195*Escalation!$B$2,0)</f>
        <v/>
      </c>
      <c r="L195">
        <f>IF(F195="Y",B195*D195*Escalation!$B$3,0)</f>
        <v/>
      </c>
      <c r="M195">
        <f>IF(G195="Y",B195*D195*Escalation!$B$4,0)</f>
        <v/>
      </c>
      <c r="N195">
        <f>IF(H195="Y",B195*D195*Escalation!$B$5,0)</f>
        <v/>
      </c>
      <c r="O195">
        <f>IF(I195="Y",B195*D195*Escalation!$B$6,0)</f>
        <v/>
      </c>
      <c r="P195">
        <f>IF(J195="Y",B195*D195*Escalation!$B$7,0)</f>
        <v/>
      </c>
      <c r="R195">
        <f>SUM(K195:P195)</f>
        <v/>
      </c>
    </row>
    <row r="196">
      <c r="K196">
        <f>IF(E196="Y",B196*D196*Escalation!$B$2,0)</f>
        <v/>
      </c>
      <c r="L196">
        <f>IF(F196="Y",B196*D196*Escalation!$B$3,0)</f>
        <v/>
      </c>
      <c r="M196">
        <f>IF(G196="Y",B196*D196*Escalation!$B$4,0)</f>
        <v/>
      </c>
      <c r="N196">
        <f>IF(H196="Y",B196*D196*Escalation!$B$5,0)</f>
        <v/>
      </c>
      <c r="O196">
        <f>IF(I196="Y",B196*D196*Escalation!$B$6,0)</f>
        <v/>
      </c>
      <c r="P196">
        <f>IF(J196="Y",B196*D196*Escalation!$B$7,0)</f>
        <v/>
      </c>
      <c r="R196">
        <f>SUM(K196:P196)</f>
        <v/>
      </c>
    </row>
    <row r="197">
      <c r="K197">
        <f>IF(E197="Y",B197*D197*Escalation!$B$2,0)</f>
        <v/>
      </c>
      <c r="L197">
        <f>IF(F197="Y",B197*D197*Escalation!$B$3,0)</f>
        <v/>
      </c>
      <c r="M197">
        <f>IF(G197="Y",B197*D197*Escalation!$B$4,0)</f>
        <v/>
      </c>
      <c r="N197">
        <f>IF(H197="Y",B197*D197*Escalation!$B$5,0)</f>
        <v/>
      </c>
      <c r="O197">
        <f>IF(I197="Y",B197*D197*Escalation!$B$6,0)</f>
        <v/>
      </c>
      <c r="P197">
        <f>IF(J197="Y",B197*D197*Escalation!$B$7,0)</f>
        <v/>
      </c>
      <c r="R197">
        <f>SUM(K197:P197)</f>
        <v/>
      </c>
    </row>
    <row r="198">
      <c r="K198">
        <f>IF(E198="Y",B198*D198*Escalation!$B$2,0)</f>
        <v/>
      </c>
      <c r="L198">
        <f>IF(F198="Y",B198*D198*Escalation!$B$3,0)</f>
        <v/>
      </c>
      <c r="M198">
        <f>IF(G198="Y",B198*D198*Escalation!$B$4,0)</f>
        <v/>
      </c>
      <c r="N198">
        <f>IF(H198="Y",B198*D198*Escalation!$B$5,0)</f>
        <v/>
      </c>
      <c r="O198">
        <f>IF(I198="Y",B198*D198*Escalation!$B$6,0)</f>
        <v/>
      </c>
      <c r="P198">
        <f>IF(J198="Y",B198*D198*Escalation!$B$7,0)</f>
        <v/>
      </c>
      <c r="R198">
        <f>SUM(K198:P198)</f>
        <v/>
      </c>
    </row>
    <row r="199">
      <c r="K199">
        <f>IF(E199="Y",B199*D199*Escalation!$B$2,0)</f>
        <v/>
      </c>
      <c r="L199">
        <f>IF(F199="Y",B199*D199*Escalation!$B$3,0)</f>
        <v/>
      </c>
      <c r="M199">
        <f>IF(G199="Y",B199*D199*Escalation!$B$4,0)</f>
        <v/>
      </c>
      <c r="N199">
        <f>IF(H199="Y",B199*D199*Escalation!$B$5,0)</f>
        <v/>
      </c>
      <c r="O199">
        <f>IF(I199="Y",B199*D199*Escalation!$B$6,0)</f>
        <v/>
      </c>
      <c r="P199">
        <f>IF(J199="Y",B199*D199*Escalation!$B$7,0)</f>
        <v/>
      </c>
      <c r="R199">
        <f>SUM(K199:P199)</f>
        <v/>
      </c>
    </row>
    <row r="200">
      <c r="K200">
        <f>IF(E200="Y",B200*D200*Escalation!$B$2,0)</f>
        <v/>
      </c>
      <c r="L200">
        <f>IF(F200="Y",B200*D200*Escalation!$B$3,0)</f>
        <v/>
      </c>
      <c r="M200">
        <f>IF(G200="Y",B200*D200*Escalation!$B$4,0)</f>
        <v/>
      </c>
      <c r="N200">
        <f>IF(H200="Y",B200*D200*Escalation!$B$5,0)</f>
        <v/>
      </c>
      <c r="O200">
        <f>IF(I200="Y",B200*D200*Escalation!$B$6,0)</f>
        <v/>
      </c>
      <c r="P200">
        <f>IF(J200="Y",B200*D200*Escalation!$B$7,0)</f>
        <v/>
      </c>
      <c r="R200">
        <f>SUM(K200:P200)</f>
        <v/>
      </c>
    </row>
    <row r="201">
      <c r="K201">
        <f>IF(E201="Y",B201*D201*Escalation!$B$2,0)</f>
        <v/>
      </c>
      <c r="L201">
        <f>IF(F201="Y",B201*D201*Escalation!$B$3,0)</f>
        <v/>
      </c>
      <c r="M201">
        <f>IF(G201="Y",B201*D201*Escalation!$B$4,0)</f>
        <v/>
      </c>
      <c r="N201">
        <f>IF(H201="Y",B201*D201*Escalation!$B$5,0)</f>
        <v/>
      </c>
      <c r="O201">
        <f>IF(I201="Y",B201*D201*Escalation!$B$6,0)</f>
        <v/>
      </c>
      <c r="P201">
        <f>IF(J201="Y",B201*D201*Escalation!$B$7,0)</f>
        <v/>
      </c>
      <c r="R201">
        <f>SUM(K201:P201)</f>
        <v/>
      </c>
    </row>
    <row r="202">
      <c r="K202">
        <f>IF(E202="Y",B202*D202*Escalation!$B$2,0)</f>
        <v/>
      </c>
      <c r="L202">
        <f>IF(F202="Y",B202*D202*Escalation!$B$3,0)</f>
        <v/>
      </c>
      <c r="M202">
        <f>IF(G202="Y",B202*D202*Escalation!$B$4,0)</f>
        <v/>
      </c>
      <c r="N202">
        <f>IF(H202="Y",B202*D202*Escalation!$B$5,0)</f>
        <v/>
      </c>
      <c r="O202">
        <f>IF(I202="Y",B202*D202*Escalation!$B$6,0)</f>
        <v/>
      </c>
      <c r="P202">
        <f>IF(J202="Y",B202*D202*Escalation!$B$7,0)</f>
        <v/>
      </c>
      <c r="R202">
        <f>SUM(K202:P202)</f>
        <v/>
      </c>
    </row>
    <row r="203">
      <c r="K203">
        <f>IF(E203="Y",B203*D203*Escalation!$B$2,0)</f>
        <v/>
      </c>
      <c r="L203">
        <f>IF(F203="Y",B203*D203*Escalation!$B$3,0)</f>
        <v/>
      </c>
      <c r="M203">
        <f>IF(G203="Y",B203*D203*Escalation!$B$4,0)</f>
        <v/>
      </c>
      <c r="N203">
        <f>IF(H203="Y",B203*D203*Escalation!$B$5,0)</f>
        <v/>
      </c>
      <c r="O203">
        <f>IF(I203="Y",B203*D203*Escalation!$B$6,0)</f>
        <v/>
      </c>
      <c r="P203">
        <f>IF(J203="Y",B203*D203*Escalation!$B$7,0)</f>
        <v/>
      </c>
      <c r="R203">
        <f>SUM(K203:P203)</f>
        <v/>
      </c>
    </row>
    <row r="204">
      <c r="K204">
        <f>IF(E204="Y",B204*D204*Escalation!$B$2,0)</f>
        <v/>
      </c>
      <c r="L204">
        <f>IF(F204="Y",B204*D204*Escalation!$B$3,0)</f>
        <v/>
      </c>
      <c r="M204">
        <f>IF(G204="Y",B204*D204*Escalation!$B$4,0)</f>
        <v/>
      </c>
      <c r="N204">
        <f>IF(H204="Y",B204*D204*Escalation!$B$5,0)</f>
        <v/>
      </c>
      <c r="O204">
        <f>IF(I204="Y",B204*D204*Escalation!$B$6,0)</f>
        <v/>
      </c>
      <c r="P204">
        <f>IF(J204="Y",B204*D204*Escalation!$B$7,0)</f>
        <v/>
      </c>
      <c r="R204">
        <f>SUM(K204:P204)</f>
        <v/>
      </c>
    </row>
    <row r="205">
      <c r="K205">
        <f>IF(E205="Y",B205*D205*Escalation!$B$2,0)</f>
        <v/>
      </c>
      <c r="L205">
        <f>IF(F205="Y",B205*D205*Escalation!$B$3,0)</f>
        <v/>
      </c>
      <c r="M205">
        <f>IF(G205="Y",B205*D205*Escalation!$B$4,0)</f>
        <v/>
      </c>
      <c r="N205">
        <f>IF(H205="Y",B205*D205*Escalation!$B$5,0)</f>
        <v/>
      </c>
      <c r="O205">
        <f>IF(I205="Y",B205*D205*Escalation!$B$6,0)</f>
        <v/>
      </c>
      <c r="P205">
        <f>IF(J205="Y",B205*D205*Escalation!$B$7,0)</f>
        <v/>
      </c>
      <c r="R205">
        <f>SUM(K205:P205)</f>
        <v/>
      </c>
    </row>
    <row r="206">
      <c r="K206">
        <f>IF(E206="Y",B206*D206*Escalation!$B$2,0)</f>
        <v/>
      </c>
      <c r="L206">
        <f>IF(F206="Y",B206*D206*Escalation!$B$3,0)</f>
        <v/>
      </c>
      <c r="M206">
        <f>IF(G206="Y",B206*D206*Escalation!$B$4,0)</f>
        <v/>
      </c>
      <c r="N206">
        <f>IF(H206="Y",B206*D206*Escalation!$B$5,0)</f>
        <v/>
      </c>
      <c r="O206">
        <f>IF(I206="Y",B206*D206*Escalation!$B$6,0)</f>
        <v/>
      </c>
      <c r="P206">
        <f>IF(J206="Y",B206*D206*Escalation!$B$7,0)</f>
        <v/>
      </c>
      <c r="R206">
        <f>SUM(K206:P206)</f>
        <v/>
      </c>
    </row>
    <row r="207">
      <c r="K207">
        <f>IF(E207="Y",B207*D207*Escalation!$B$2,0)</f>
        <v/>
      </c>
      <c r="L207">
        <f>IF(F207="Y",B207*D207*Escalation!$B$3,0)</f>
        <v/>
      </c>
      <c r="M207">
        <f>IF(G207="Y",B207*D207*Escalation!$B$4,0)</f>
        <v/>
      </c>
      <c r="N207">
        <f>IF(H207="Y",B207*D207*Escalation!$B$5,0)</f>
        <v/>
      </c>
      <c r="O207">
        <f>IF(I207="Y",B207*D207*Escalation!$B$6,0)</f>
        <v/>
      </c>
      <c r="P207">
        <f>IF(J207="Y",B207*D207*Escalation!$B$7,0)</f>
        <v/>
      </c>
      <c r="R207">
        <f>SUM(K207:P207)</f>
        <v/>
      </c>
    </row>
    <row r="208">
      <c r="K208">
        <f>IF(E208="Y",B208*D208*Escalation!$B$2,0)</f>
        <v/>
      </c>
      <c r="L208">
        <f>IF(F208="Y",B208*D208*Escalation!$B$3,0)</f>
        <v/>
      </c>
      <c r="M208">
        <f>IF(G208="Y",B208*D208*Escalation!$B$4,0)</f>
        <v/>
      </c>
      <c r="N208">
        <f>IF(H208="Y",B208*D208*Escalation!$B$5,0)</f>
        <v/>
      </c>
      <c r="O208">
        <f>IF(I208="Y",B208*D208*Escalation!$B$6,0)</f>
        <v/>
      </c>
      <c r="P208">
        <f>IF(J208="Y",B208*D208*Escalation!$B$7,0)</f>
        <v/>
      </c>
      <c r="R208">
        <f>SUM(K208:P208)</f>
        <v/>
      </c>
    </row>
    <row r="209">
      <c r="K209">
        <f>IF(E209="Y",B209*D209*Escalation!$B$2,0)</f>
        <v/>
      </c>
      <c r="L209">
        <f>IF(F209="Y",B209*D209*Escalation!$B$3,0)</f>
        <v/>
      </c>
      <c r="M209">
        <f>IF(G209="Y",B209*D209*Escalation!$B$4,0)</f>
        <v/>
      </c>
      <c r="N209">
        <f>IF(H209="Y",B209*D209*Escalation!$B$5,0)</f>
        <v/>
      </c>
      <c r="O209">
        <f>IF(I209="Y",B209*D209*Escalation!$B$6,0)</f>
        <v/>
      </c>
      <c r="P209">
        <f>IF(J209="Y",B209*D209*Escalation!$B$7,0)</f>
        <v/>
      </c>
      <c r="R209">
        <f>SUM(K209:P209)</f>
        <v/>
      </c>
    </row>
    <row r="210">
      <c r="K210">
        <f>IF(E210="Y",B210*D210*Escalation!$B$2,0)</f>
        <v/>
      </c>
      <c r="L210">
        <f>IF(F210="Y",B210*D210*Escalation!$B$3,0)</f>
        <v/>
      </c>
      <c r="M210">
        <f>IF(G210="Y",B210*D210*Escalation!$B$4,0)</f>
        <v/>
      </c>
      <c r="N210">
        <f>IF(H210="Y",B210*D210*Escalation!$B$5,0)</f>
        <v/>
      </c>
      <c r="O210">
        <f>IF(I210="Y",B210*D210*Escalation!$B$6,0)</f>
        <v/>
      </c>
      <c r="P210">
        <f>IF(J210="Y",B210*D210*Escalation!$B$7,0)</f>
        <v/>
      </c>
      <c r="R210">
        <f>SUM(K210:P210)</f>
        <v/>
      </c>
    </row>
    <row r="211">
      <c r="K211">
        <f>IF(E211="Y",B211*D211*Escalation!$B$2,0)</f>
        <v/>
      </c>
      <c r="L211">
        <f>IF(F211="Y",B211*D211*Escalation!$B$3,0)</f>
        <v/>
      </c>
      <c r="M211">
        <f>IF(G211="Y",B211*D211*Escalation!$B$4,0)</f>
        <v/>
      </c>
      <c r="N211">
        <f>IF(H211="Y",B211*D211*Escalation!$B$5,0)</f>
        <v/>
      </c>
      <c r="O211">
        <f>IF(I211="Y",B211*D211*Escalation!$B$6,0)</f>
        <v/>
      </c>
      <c r="P211">
        <f>IF(J211="Y",B211*D211*Escalation!$B$7,0)</f>
        <v/>
      </c>
      <c r="R211">
        <f>SUM(K211:P211)</f>
        <v/>
      </c>
    </row>
    <row r="212">
      <c r="K212">
        <f>IF(E212="Y",B212*D212*Escalation!$B$2,0)</f>
        <v/>
      </c>
      <c r="L212">
        <f>IF(F212="Y",B212*D212*Escalation!$B$3,0)</f>
        <v/>
      </c>
      <c r="M212">
        <f>IF(G212="Y",B212*D212*Escalation!$B$4,0)</f>
        <v/>
      </c>
      <c r="N212">
        <f>IF(H212="Y",B212*D212*Escalation!$B$5,0)</f>
        <v/>
      </c>
      <c r="O212">
        <f>IF(I212="Y",B212*D212*Escalation!$B$6,0)</f>
        <v/>
      </c>
      <c r="P212">
        <f>IF(J212="Y",B212*D212*Escalation!$B$7,0)</f>
        <v/>
      </c>
      <c r="R212">
        <f>SUM(K212:P212)</f>
        <v/>
      </c>
    </row>
    <row r="213">
      <c r="K213">
        <f>IF(E213="Y",B213*D213*Escalation!$B$2,0)</f>
        <v/>
      </c>
      <c r="L213">
        <f>IF(F213="Y",B213*D213*Escalation!$B$3,0)</f>
        <v/>
      </c>
      <c r="M213">
        <f>IF(G213="Y",B213*D213*Escalation!$B$4,0)</f>
        <v/>
      </c>
      <c r="N213">
        <f>IF(H213="Y",B213*D213*Escalation!$B$5,0)</f>
        <v/>
      </c>
      <c r="O213">
        <f>IF(I213="Y",B213*D213*Escalation!$B$6,0)</f>
        <v/>
      </c>
      <c r="P213">
        <f>IF(J213="Y",B213*D213*Escalation!$B$7,0)</f>
        <v/>
      </c>
      <c r="R213">
        <f>SUM(K213:P213)</f>
        <v/>
      </c>
    </row>
    <row r="214">
      <c r="K214">
        <f>IF(E214="Y",B214*D214*Escalation!$B$2,0)</f>
        <v/>
      </c>
      <c r="L214">
        <f>IF(F214="Y",B214*D214*Escalation!$B$3,0)</f>
        <v/>
      </c>
      <c r="M214">
        <f>IF(G214="Y",B214*D214*Escalation!$B$4,0)</f>
        <v/>
      </c>
      <c r="N214">
        <f>IF(H214="Y",B214*D214*Escalation!$B$5,0)</f>
        <v/>
      </c>
      <c r="O214">
        <f>IF(I214="Y",B214*D214*Escalation!$B$6,0)</f>
        <v/>
      </c>
      <c r="P214">
        <f>IF(J214="Y",B214*D214*Escalation!$B$7,0)</f>
        <v/>
      </c>
      <c r="R214">
        <f>SUM(K214:P214)</f>
        <v/>
      </c>
    </row>
    <row r="215">
      <c r="K215">
        <f>IF(E215="Y",B215*D215*Escalation!$B$2,0)</f>
        <v/>
      </c>
      <c r="L215">
        <f>IF(F215="Y",B215*D215*Escalation!$B$3,0)</f>
        <v/>
      </c>
      <c r="M215">
        <f>IF(G215="Y",B215*D215*Escalation!$B$4,0)</f>
        <v/>
      </c>
      <c r="N215">
        <f>IF(H215="Y",B215*D215*Escalation!$B$5,0)</f>
        <v/>
      </c>
      <c r="O215">
        <f>IF(I215="Y",B215*D215*Escalation!$B$6,0)</f>
        <v/>
      </c>
      <c r="P215">
        <f>IF(J215="Y",B215*D215*Escalation!$B$7,0)</f>
        <v/>
      </c>
      <c r="R215">
        <f>SUM(K215:P215)</f>
        <v/>
      </c>
    </row>
    <row r="216">
      <c r="K216">
        <f>IF(E216="Y",B216*D216*Escalation!$B$2,0)</f>
        <v/>
      </c>
      <c r="L216">
        <f>IF(F216="Y",B216*D216*Escalation!$B$3,0)</f>
        <v/>
      </c>
      <c r="M216">
        <f>IF(G216="Y",B216*D216*Escalation!$B$4,0)</f>
        <v/>
      </c>
      <c r="N216">
        <f>IF(H216="Y",B216*D216*Escalation!$B$5,0)</f>
        <v/>
      </c>
      <c r="O216">
        <f>IF(I216="Y",B216*D216*Escalation!$B$6,0)</f>
        <v/>
      </c>
      <c r="P216">
        <f>IF(J216="Y",B216*D216*Escalation!$B$7,0)</f>
        <v/>
      </c>
      <c r="R216">
        <f>SUM(K216:P216)</f>
        <v/>
      </c>
    </row>
    <row r="217">
      <c r="K217">
        <f>IF(E217="Y",B217*D217*Escalation!$B$2,0)</f>
        <v/>
      </c>
      <c r="L217">
        <f>IF(F217="Y",B217*D217*Escalation!$B$3,0)</f>
        <v/>
      </c>
      <c r="M217">
        <f>IF(G217="Y",B217*D217*Escalation!$B$4,0)</f>
        <v/>
      </c>
      <c r="N217">
        <f>IF(H217="Y",B217*D217*Escalation!$B$5,0)</f>
        <v/>
      </c>
      <c r="O217">
        <f>IF(I217="Y",B217*D217*Escalation!$B$6,0)</f>
        <v/>
      </c>
      <c r="P217">
        <f>IF(J217="Y",B217*D217*Escalation!$B$7,0)</f>
        <v/>
      </c>
      <c r="R217">
        <f>SUM(K217:P217)</f>
        <v/>
      </c>
    </row>
    <row r="218">
      <c r="K218">
        <f>IF(E218="Y",B218*D218*Escalation!$B$2,0)</f>
        <v/>
      </c>
      <c r="L218">
        <f>IF(F218="Y",B218*D218*Escalation!$B$3,0)</f>
        <v/>
      </c>
      <c r="M218">
        <f>IF(G218="Y",B218*D218*Escalation!$B$4,0)</f>
        <v/>
      </c>
      <c r="N218">
        <f>IF(H218="Y",B218*D218*Escalation!$B$5,0)</f>
        <v/>
      </c>
      <c r="O218">
        <f>IF(I218="Y",B218*D218*Escalation!$B$6,0)</f>
        <v/>
      </c>
      <c r="P218">
        <f>IF(J218="Y",B218*D218*Escalation!$B$7,0)</f>
        <v/>
      </c>
      <c r="R218">
        <f>SUM(K218:P218)</f>
        <v/>
      </c>
    </row>
    <row r="219">
      <c r="K219">
        <f>IF(E219="Y",B219*D219*Escalation!$B$2,0)</f>
        <v/>
      </c>
      <c r="L219">
        <f>IF(F219="Y",B219*D219*Escalation!$B$3,0)</f>
        <v/>
      </c>
      <c r="M219">
        <f>IF(G219="Y",B219*D219*Escalation!$B$4,0)</f>
        <v/>
      </c>
      <c r="N219">
        <f>IF(H219="Y",B219*D219*Escalation!$B$5,0)</f>
        <v/>
      </c>
      <c r="O219">
        <f>IF(I219="Y",B219*D219*Escalation!$B$6,0)</f>
        <v/>
      </c>
      <c r="P219">
        <f>IF(J219="Y",B219*D219*Escalation!$B$7,0)</f>
        <v/>
      </c>
      <c r="R219">
        <f>SUM(K219:P219)</f>
        <v/>
      </c>
    </row>
    <row r="220">
      <c r="K220">
        <f>IF(E220="Y",B220*D220*Escalation!$B$2,0)</f>
        <v/>
      </c>
      <c r="L220">
        <f>IF(F220="Y",B220*D220*Escalation!$B$3,0)</f>
        <v/>
      </c>
      <c r="M220">
        <f>IF(G220="Y",B220*D220*Escalation!$B$4,0)</f>
        <v/>
      </c>
      <c r="N220">
        <f>IF(H220="Y",B220*D220*Escalation!$B$5,0)</f>
        <v/>
      </c>
      <c r="O220">
        <f>IF(I220="Y",B220*D220*Escalation!$B$6,0)</f>
        <v/>
      </c>
      <c r="P220">
        <f>IF(J220="Y",B220*D220*Escalation!$B$7,0)</f>
        <v/>
      </c>
      <c r="R220">
        <f>SUM(K220:P220)</f>
        <v/>
      </c>
    </row>
    <row r="221">
      <c r="K221">
        <f>IF(E221="Y",B221*D221*Escalation!$B$2,0)</f>
        <v/>
      </c>
      <c r="L221">
        <f>IF(F221="Y",B221*D221*Escalation!$B$3,0)</f>
        <v/>
      </c>
      <c r="M221">
        <f>IF(G221="Y",B221*D221*Escalation!$B$4,0)</f>
        <v/>
      </c>
      <c r="N221">
        <f>IF(H221="Y",B221*D221*Escalation!$B$5,0)</f>
        <v/>
      </c>
      <c r="O221">
        <f>IF(I221="Y",B221*D221*Escalation!$B$6,0)</f>
        <v/>
      </c>
      <c r="P221">
        <f>IF(J221="Y",B221*D221*Escalation!$B$7,0)</f>
        <v/>
      </c>
      <c r="R221">
        <f>SUM(K221:P221)</f>
        <v/>
      </c>
    </row>
    <row r="222">
      <c r="K222">
        <f>IF(E222="Y",B222*D222*Escalation!$B$2,0)</f>
        <v/>
      </c>
      <c r="L222">
        <f>IF(F222="Y",B222*D222*Escalation!$B$3,0)</f>
        <v/>
      </c>
      <c r="M222">
        <f>IF(G222="Y",B222*D222*Escalation!$B$4,0)</f>
        <v/>
      </c>
      <c r="N222">
        <f>IF(H222="Y",B222*D222*Escalation!$B$5,0)</f>
        <v/>
      </c>
      <c r="O222">
        <f>IF(I222="Y",B222*D222*Escalation!$B$6,0)</f>
        <v/>
      </c>
      <c r="P222">
        <f>IF(J222="Y",B222*D222*Escalation!$B$7,0)</f>
        <v/>
      </c>
      <c r="R222">
        <f>SUM(K222:P222)</f>
        <v/>
      </c>
    </row>
    <row r="223">
      <c r="K223">
        <f>IF(E223="Y",B223*D223*Escalation!$B$2,0)</f>
        <v/>
      </c>
      <c r="L223">
        <f>IF(F223="Y",B223*D223*Escalation!$B$3,0)</f>
        <v/>
      </c>
      <c r="M223">
        <f>IF(G223="Y",B223*D223*Escalation!$B$4,0)</f>
        <v/>
      </c>
      <c r="N223">
        <f>IF(H223="Y",B223*D223*Escalation!$B$5,0)</f>
        <v/>
      </c>
      <c r="O223">
        <f>IF(I223="Y",B223*D223*Escalation!$B$6,0)</f>
        <v/>
      </c>
      <c r="P223">
        <f>IF(J223="Y",B223*D223*Escalation!$B$7,0)</f>
        <v/>
      </c>
      <c r="R223">
        <f>SUM(K223:P223)</f>
        <v/>
      </c>
    </row>
    <row r="224">
      <c r="K224">
        <f>IF(E224="Y",B224*D224*Escalation!$B$2,0)</f>
        <v/>
      </c>
      <c r="L224">
        <f>IF(F224="Y",B224*D224*Escalation!$B$3,0)</f>
        <v/>
      </c>
      <c r="M224">
        <f>IF(G224="Y",B224*D224*Escalation!$B$4,0)</f>
        <v/>
      </c>
      <c r="N224">
        <f>IF(H224="Y",B224*D224*Escalation!$B$5,0)</f>
        <v/>
      </c>
      <c r="O224">
        <f>IF(I224="Y",B224*D224*Escalation!$B$6,0)</f>
        <v/>
      </c>
      <c r="P224">
        <f>IF(J224="Y",B224*D224*Escalation!$B$7,0)</f>
        <v/>
      </c>
      <c r="R224">
        <f>SUM(K224:P224)</f>
        <v/>
      </c>
    </row>
    <row r="225">
      <c r="K225">
        <f>IF(E225="Y",B225*D225*Escalation!$B$2,0)</f>
        <v/>
      </c>
      <c r="L225">
        <f>IF(F225="Y",B225*D225*Escalation!$B$3,0)</f>
        <v/>
      </c>
      <c r="M225">
        <f>IF(G225="Y",B225*D225*Escalation!$B$4,0)</f>
        <v/>
      </c>
      <c r="N225">
        <f>IF(H225="Y",B225*D225*Escalation!$B$5,0)</f>
        <v/>
      </c>
      <c r="O225">
        <f>IF(I225="Y",B225*D225*Escalation!$B$6,0)</f>
        <v/>
      </c>
      <c r="P225">
        <f>IF(J225="Y",B225*D225*Escalation!$B$7,0)</f>
        <v/>
      </c>
      <c r="R225">
        <f>SUM(K225:P225)</f>
        <v/>
      </c>
    </row>
    <row r="226">
      <c r="K226">
        <f>IF(E226="Y",B226*D226*Escalation!$B$2,0)</f>
        <v/>
      </c>
      <c r="L226">
        <f>IF(F226="Y",B226*D226*Escalation!$B$3,0)</f>
        <v/>
      </c>
      <c r="M226">
        <f>IF(G226="Y",B226*D226*Escalation!$B$4,0)</f>
        <v/>
      </c>
      <c r="N226">
        <f>IF(H226="Y",B226*D226*Escalation!$B$5,0)</f>
        <v/>
      </c>
      <c r="O226">
        <f>IF(I226="Y",B226*D226*Escalation!$B$6,0)</f>
        <v/>
      </c>
      <c r="P226">
        <f>IF(J226="Y",B226*D226*Escalation!$B$7,0)</f>
        <v/>
      </c>
      <c r="R226">
        <f>SUM(K226:P226)</f>
        <v/>
      </c>
    </row>
    <row r="227">
      <c r="K227">
        <f>IF(E227="Y",B227*D227*Escalation!$B$2,0)</f>
        <v/>
      </c>
      <c r="L227">
        <f>IF(F227="Y",B227*D227*Escalation!$B$3,0)</f>
        <v/>
      </c>
      <c r="M227">
        <f>IF(G227="Y",B227*D227*Escalation!$B$4,0)</f>
        <v/>
      </c>
      <c r="N227">
        <f>IF(H227="Y",B227*D227*Escalation!$B$5,0)</f>
        <v/>
      </c>
      <c r="O227">
        <f>IF(I227="Y",B227*D227*Escalation!$B$6,0)</f>
        <v/>
      </c>
      <c r="P227">
        <f>IF(J227="Y",B227*D227*Escalation!$B$7,0)</f>
        <v/>
      </c>
      <c r="R227">
        <f>SUM(K227:P227)</f>
        <v/>
      </c>
    </row>
    <row r="228">
      <c r="K228">
        <f>IF(E228="Y",B228*D228*Escalation!$B$2,0)</f>
        <v/>
      </c>
      <c r="L228">
        <f>IF(F228="Y",B228*D228*Escalation!$B$3,0)</f>
        <v/>
      </c>
      <c r="M228">
        <f>IF(G228="Y",B228*D228*Escalation!$B$4,0)</f>
        <v/>
      </c>
      <c r="N228">
        <f>IF(H228="Y",B228*D228*Escalation!$B$5,0)</f>
        <v/>
      </c>
      <c r="O228">
        <f>IF(I228="Y",B228*D228*Escalation!$B$6,0)</f>
        <v/>
      </c>
      <c r="P228">
        <f>IF(J228="Y",B228*D228*Escalation!$B$7,0)</f>
        <v/>
      </c>
      <c r="R228">
        <f>SUM(K228:P228)</f>
        <v/>
      </c>
    </row>
    <row r="229">
      <c r="K229">
        <f>IF(E229="Y",B229*D229*Escalation!$B$2,0)</f>
        <v/>
      </c>
      <c r="L229">
        <f>IF(F229="Y",B229*D229*Escalation!$B$3,0)</f>
        <v/>
      </c>
      <c r="M229">
        <f>IF(G229="Y",B229*D229*Escalation!$B$4,0)</f>
        <v/>
      </c>
      <c r="N229">
        <f>IF(H229="Y",B229*D229*Escalation!$B$5,0)</f>
        <v/>
      </c>
      <c r="O229">
        <f>IF(I229="Y",B229*D229*Escalation!$B$6,0)</f>
        <v/>
      </c>
      <c r="P229">
        <f>IF(J229="Y",B229*D229*Escalation!$B$7,0)</f>
        <v/>
      </c>
      <c r="R229">
        <f>SUM(K229:P229)</f>
        <v/>
      </c>
    </row>
    <row r="230">
      <c r="K230">
        <f>IF(E230="Y",B230*D230*Escalation!$B$2,0)</f>
        <v/>
      </c>
      <c r="L230">
        <f>IF(F230="Y",B230*D230*Escalation!$B$3,0)</f>
        <v/>
      </c>
      <c r="M230">
        <f>IF(G230="Y",B230*D230*Escalation!$B$4,0)</f>
        <v/>
      </c>
      <c r="N230">
        <f>IF(H230="Y",B230*D230*Escalation!$B$5,0)</f>
        <v/>
      </c>
      <c r="O230">
        <f>IF(I230="Y",B230*D230*Escalation!$B$6,0)</f>
        <v/>
      </c>
      <c r="P230">
        <f>IF(J230="Y",B230*D230*Escalation!$B$7,0)</f>
        <v/>
      </c>
      <c r="R230">
        <f>SUM(K230:P230)</f>
        <v/>
      </c>
    </row>
    <row r="231">
      <c r="K231">
        <f>IF(E231="Y",B231*D231*Escalation!$B$2,0)</f>
        <v/>
      </c>
      <c r="L231">
        <f>IF(F231="Y",B231*D231*Escalation!$B$3,0)</f>
        <v/>
      </c>
      <c r="M231">
        <f>IF(G231="Y",B231*D231*Escalation!$B$4,0)</f>
        <v/>
      </c>
      <c r="N231">
        <f>IF(H231="Y",B231*D231*Escalation!$B$5,0)</f>
        <v/>
      </c>
      <c r="O231">
        <f>IF(I231="Y",B231*D231*Escalation!$B$6,0)</f>
        <v/>
      </c>
      <c r="P231">
        <f>IF(J231="Y",B231*D231*Escalation!$B$7,0)</f>
        <v/>
      </c>
      <c r="R231">
        <f>SUM(K231:P231)</f>
        <v/>
      </c>
    </row>
    <row r="232">
      <c r="K232">
        <f>IF(E232="Y",B232*D232*Escalation!$B$2,0)</f>
        <v/>
      </c>
      <c r="L232">
        <f>IF(F232="Y",B232*D232*Escalation!$B$3,0)</f>
        <v/>
      </c>
      <c r="M232">
        <f>IF(G232="Y",B232*D232*Escalation!$B$4,0)</f>
        <v/>
      </c>
      <c r="N232">
        <f>IF(H232="Y",B232*D232*Escalation!$B$5,0)</f>
        <v/>
      </c>
      <c r="O232">
        <f>IF(I232="Y",B232*D232*Escalation!$B$6,0)</f>
        <v/>
      </c>
      <c r="P232">
        <f>IF(J232="Y",B232*D232*Escalation!$B$7,0)</f>
        <v/>
      </c>
      <c r="R232">
        <f>SUM(K232:P232)</f>
        <v/>
      </c>
    </row>
    <row r="233">
      <c r="K233">
        <f>IF(E233="Y",B233*D233*Escalation!$B$2,0)</f>
        <v/>
      </c>
      <c r="L233">
        <f>IF(F233="Y",B233*D233*Escalation!$B$3,0)</f>
        <v/>
      </c>
      <c r="M233">
        <f>IF(G233="Y",B233*D233*Escalation!$B$4,0)</f>
        <v/>
      </c>
      <c r="N233">
        <f>IF(H233="Y",B233*D233*Escalation!$B$5,0)</f>
        <v/>
      </c>
      <c r="O233">
        <f>IF(I233="Y",B233*D233*Escalation!$B$6,0)</f>
        <v/>
      </c>
      <c r="P233">
        <f>IF(J233="Y",B233*D233*Escalation!$B$7,0)</f>
        <v/>
      </c>
      <c r="R233">
        <f>SUM(K233:P233)</f>
        <v/>
      </c>
    </row>
    <row r="234">
      <c r="K234">
        <f>IF(E234="Y",B234*D234*Escalation!$B$2,0)</f>
        <v/>
      </c>
      <c r="L234">
        <f>IF(F234="Y",B234*D234*Escalation!$B$3,0)</f>
        <v/>
      </c>
      <c r="M234">
        <f>IF(G234="Y",B234*D234*Escalation!$B$4,0)</f>
        <v/>
      </c>
      <c r="N234">
        <f>IF(H234="Y",B234*D234*Escalation!$B$5,0)</f>
        <v/>
      </c>
      <c r="O234">
        <f>IF(I234="Y",B234*D234*Escalation!$B$6,0)</f>
        <v/>
      </c>
      <c r="P234">
        <f>IF(J234="Y",B234*D234*Escalation!$B$7,0)</f>
        <v/>
      </c>
      <c r="R234">
        <f>SUM(K234:P234)</f>
        <v/>
      </c>
    </row>
    <row r="235">
      <c r="K235">
        <f>IF(E235="Y",B235*D235*Escalation!$B$2,0)</f>
        <v/>
      </c>
      <c r="L235">
        <f>IF(F235="Y",B235*D235*Escalation!$B$3,0)</f>
        <v/>
      </c>
      <c r="M235">
        <f>IF(G235="Y",B235*D235*Escalation!$B$4,0)</f>
        <v/>
      </c>
      <c r="N235">
        <f>IF(H235="Y",B235*D235*Escalation!$B$5,0)</f>
        <v/>
      </c>
      <c r="O235">
        <f>IF(I235="Y",B235*D235*Escalation!$B$6,0)</f>
        <v/>
      </c>
      <c r="P235">
        <f>IF(J235="Y",B235*D235*Escalation!$B$7,0)</f>
        <v/>
      </c>
      <c r="R235">
        <f>SUM(K235:P235)</f>
        <v/>
      </c>
    </row>
    <row r="236">
      <c r="K236">
        <f>IF(E236="Y",B236*D236*Escalation!$B$2,0)</f>
        <v/>
      </c>
      <c r="L236">
        <f>IF(F236="Y",B236*D236*Escalation!$B$3,0)</f>
        <v/>
      </c>
      <c r="M236">
        <f>IF(G236="Y",B236*D236*Escalation!$B$4,0)</f>
        <v/>
      </c>
      <c r="N236">
        <f>IF(H236="Y",B236*D236*Escalation!$B$5,0)</f>
        <v/>
      </c>
      <c r="O236">
        <f>IF(I236="Y",B236*D236*Escalation!$B$6,0)</f>
        <v/>
      </c>
      <c r="P236">
        <f>IF(J236="Y",B236*D236*Escalation!$B$7,0)</f>
        <v/>
      </c>
      <c r="R236">
        <f>SUM(K236:P236)</f>
        <v/>
      </c>
    </row>
    <row r="237">
      <c r="K237">
        <f>IF(E237="Y",B237*D237*Escalation!$B$2,0)</f>
        <v/>
      </c>
      <c r="L237">
        <f>IF(F237="Y",B237*D237*Escalation!$B$3,0)</f>
        <v/>
      </c>
      <c r="M237">
        <f>IF(G237="Y",B237*D237*Escalation!$B$4,0)</f>
        <v/>
      </c>
      <c r="N237">
        <f>IF(H237="Y",B237*D237*Escalation!$B$5,0)</f>
        <v/>
      </c>
      <c r="O237">
        <f>IF(I237="Y",B237*D237*Escalation!$B$6,0)</f>
        <v/>
      </c>
      <c r="P237">
        <f>IF(J237="Y",B237*D237*Escalation!$B$7,0)</f>
        <v/>
      </c>
      <c r="R237">
        <f>SUM(K237:P237)</f>
        <v/>
      </c>
    </row>
    <row r="238">
      <c r="K238">
        <f>IF(E238="Y",B238*D238*Escalation!$B$2,0)</f>
        <v/>
      </c>
      <c r="L238">
        <f>IF(F238="Y",B238*D238*Escalation!$B$3,0)</f>
        <v/>
      </c>
      <c r="M238">
        <f>IF(G238="Y",B238*D238*Escalation!$B$4,0)</f>
        <v/>
      </c>
      <c r="N238">
        <f>IF(H238="Y",B238*D238*Escalation!$B$5,0)</f>
        <v/>
      </c>
      <c r="O238">
        <f>IF(I238="Y",B238*D238*Escalation!$B$6,0)</f>
        <v/>
      </c>
      <c r="P238">
        <f>IF(J238="Y",B238*D238*Escalation!$B$7,0)</f>
        <v/>
      </c>
      <c r="R238">
        <f>SUM(K238:P238)</f>
        <v/>
      </c>
    </row>
    <row r="239">
      <c r="K239">
        <f>IF(E239="Y",B239*D239*Escalation!$B$2,0)</f>
        <v/>
      </c>
      <c r="L239">
        <f>IF(F239="Y",B239*D239*Escalation!$B$3,0)</f>
        <v/>
      </c>
      <c r="M239">
        <f>IF(G239="Y",B239*D239*Escalation!$B$4,0)</f>
        <v/>
      </c>
      <c r="N239">
        <f>IF(H239="Y",B239*D239*Escalation!$B$5,0)</f>
        <v/>
      </c>
      <c r="O239">
        <f>IF(I239="Y",B239*D239*Escalation!$B$6,0)</f>
        <v/>
      </c>
      <c r="P239">
        <f>IF(J239="Y",B239*D239*Escalation!$B$7,0)</f>
        <v/>
      </c>
      <c r="R239">
        <f>SUM(K239:P239)</f>
        <v/>
      </c>
    </row>
    <row r="240">
      <c r="K240">
        <f>IF(E240="Y",B240*D240*Escalation!$B$2,0)</f>
        <v/>
      </c>
      <c r="L240">
        <f>IF(F240="Y",B240*D240*Escalation!$B$3,0)</f>
        <v/>
      </c>
      <c r="M240">
        <f>IF(G240="Y",B240*D240*Escalation!$B$4,0)</f>
        <v/>
      </c>
      <c r="N240">
        <f>IF(H240="Y",B240*D240*Escalation!$B$5,0)</f>
        <v/>
      </c>
      <c r="O240">
        <f>IF(I240="Y",B240*D240*Escalation!$B$6,0)</f>
        <v/>
      </c>
      <c r="P240">
        <f>IF(J240="Y",B240*D240*Escalation!$B$7,0)</f>
        <v/>
      </c>
      <c r="R240">
        <f>SUM(K240:P240)</f>
        <v/>
      </c>
    </row>
    <row r="241">
      <c r="K241">
        <f>IF(E241="Y",B241*D241*Escalation!$B$2,0)</f>
        <v/>
      </c>
      <c r="L241">
        <f>IF(F241="Y",B241*D241*Escalation!$B$3,0)</f>
        <v/>
      </c>
      <c r="M241">
        <f>IF(G241="Y",B241*D241*Escalation!$B$4,0)</f>
        <v/>
      </c>
      <c r="N241">
        <f>IF(H241="Y",B241*D241*Escalation!$B$5,0)</f>
        <v/>
      </c>
      <c r="O241">
        <f>IF(I241="Y",B241*D241*Escalation!$B$6,0)</f>
        <v/>
      </c>
      <c r="P241">
        <f>IF(J241="Y",B241*D241*Escalation!$B$7,0)</f>
        <v/>
      </c>
      <c r="R241">
        <f>SUM(K241:P241)</f>
        <v/>
      </c>
    </row>
    <row r="242">
      <c r="K242">
        <f>IF(E242="Y",B242*D242*Escalation!$B$2,0)</f>
        <v/>
      </c>
      <c r="L242">
        <f>IF(F242="Y",B242*D242*Escalation!$B$3,0)</f>
        <v/>
      </c>
      <c r="M242">
        <f>IF(G242="Y",B242*D242*Escalation!$B$4,0)</f>
        <v/>
      </c>
      <c r="N242">
        <f>IF(H242="Y",B242*D242*Escalation!$B$5,0)</f>
        <v/>
      </c>
      <c r="O242">
        <f>IF(I242="Y",B242*D242*Escalation!$B$6,0)</f>
        <v/>
      </c>
      <c r="P242">
        <f>IF(J242="Y",B242*D242*Escalation!$B$7,0)</f>
        <v/>
      </c>
      <c r="R242">
        <f>SUM(K242:P242)</f>
        <v/>
      </c>
    </row>
    <row r="243">
      <c r="K243">
        <f>IF(E243="Y",B243*D243*Escalation!$B$2,0)</f>
        <v/>
      </c>
      <c r="L243">
        <f>IF(F243="Y",B243*D243*Escalation!$B$3,0)</f>
        <v/>
      </c>
      <c r="M243">
        <f>IF(G243="Y",B243*D243*Escalation!$B$4,0)</f>
        <v/>
      </c>
      <c r="N243">
        <f>IF(H243="Y",B243*D243*Escalation!$B$5,0)</f>
        <v/>
      </c>
      <c r="O243">
        <f>IF(I243="Y",B243*D243*Escalation!$B$6,0)</f>
        <v/>
      </c>
      <c r="P243">
        <f>IF(J243="Y",B243*D243*Escalation!$B$7,0)</f>
        <v/>
      </c>
      <c r="R243">
        <f>SUM(K243:P243)</f>
        <v/>
      </c>
    </row>
    <row r="244">
      <c r="K244">
        <f>IF(E244="Y",B244*D244*Escalation!$B$2,0)</f>
        <v/>
      </c>
      <c r="L244">
        <f>IF(F244="Y",B244*D244*Escalation!$B$3,0)</f>
        <v/>
      </c>
      <c r="M244">
        <f>IF(G244="Y",B244*D244*Escalation!$B$4,0)</f>
        <v/>
      </c>
      <c r="N244">
        <f>IF(H244="Y",B244*D244*Escalation!$B$5,0)</f>
        <v/>
      </c>
      <c r="O244">
        <f>IF(I244="Y",B244*D244*Escalation!$B$6,0)</f>
        <v/>
      </c>
      <c r="P244">
        <f>IF(J244="Y",B244*D244*Escalation!$B$7,0)</f>
        <v/>
      </c>
      <c r="R244">
        <f>SUM(K244:P244)</f>
        <v/>
      </c>
    </row>
    <row r="245">
      <c r="K245">
        <f>IF(E245="Y",B245*D245*Escalation!$B$2,0)</f>
        <v/>
      </c>
      <c r="L245">
        <f>IF(F245="Y",B245*D245*Escalation!$B$3,0)</f>
        <v/>
      </c>
      <c r="M245">
        <f>IF(G245="Y",B245*D245*Escalation!$B$4,0)</f>
        <v/>
      </c>
      <c r="N245">
        <f>IF(H245="Y",B245*D245*Escalation!$B$5,0)</f>
        <v/>
      </c>
      <c r="O245">
        <f>IF(I245="Y",B245*D245*Escalation!$B$6,0)</f>
        <v/>
      </c>
      <c r="P245">
        <f>IF(J245="Y",B245*D245*Escalation!$B$7,0)</f>
        <v/>
      </c>
      <c r="R245">
        <f>SUM(K245:P245)</f>
        <v/>
      </c>
    </row>
    <row r="246">
      <c r="K246">
        <f>IF(E246="Y",B246*D246*Escalation!$B$2,0)</f>
        <v/>
      </c>
      <c r="L246">
        <f>IF(F246="Y",B246*D246*Escalation!$B$3,0)</f>
        <v/>
      </c>
      <c r="M246">
        <f>IF(G246="Y",B246*D246*Escalation!$B$4,0)</f>
        <v/>
      </c>
      <c r="N246">
        <f>IF(H246="Y",B246*D246*Escalation!$B$5,0)</f>
        <v/>
      </c>
      <c r="O246">
        <f>IF(I246="Y",B246*D246*Escalation!$B$6,0)</f>
        <v/>
      </c>
      <c r="P246">
        <f>IF(J246="Y",B246*D246*Escalation!$B$7,0)</f>
        <v/>
      </c>
      <c r="R246">
        <f>SUM(K246:P246)</f>
        <v/>
      </c>
    </row>
    <row r="247">
      <c r="K247">
        <f>IF(E247="Y",B247*D247*Escalation!$B$2,0)</f>
        <v/>
      </c>
      <c r="L247">
        <f>IF(F247="Y",B247*D247*Escalation!$B$3,0)</f>
        <v/>
      </c>
      <c r="M247">
        <f>IF(G247="Y",B247*D247*Escalation!$B$4,0)</f>
        <v/>
      </c>
      <c r="N247">
        <f>IF(H247="Y",B247*D247*Escalation!$B$5,0)</f>
        <v/>
      </c>
      <c r="O247">
        <f>IF(I247="Y",B247*D247*Escalation!$B$6,0)</f>
        <v/>
      </c>
      <c r="P247">
        <f>IF(J247="Y",B247*D247*Escalation!$B$7,0)</f>
        <v/>
      </c>
      <c r="R247">
        <f>SUM(K247:P247)</f>
        <v/>
      </c>
    </row>
    <row r="248">
      <c r="K248">
        <f>IF(E248="Y",B248*D248*Escalation!$B$2,0)</f>
        <v/>
      </c>
      <c r="L248">
        <f>IF(F248="Y",B248*D248*Escalation!$B$3,0)</f>
        <v/>
      </c>
      <c r="M248">
        <f>IF(G248="Y",B248*D248*Escalation!$B$4,0)</f>
        <v/>
      </c>
      <c r="N248">
        <f>IF(H248="Y",B248*D248*Escalation!$B$5,0)</f>
        <v/>
      </c>
      <c r="O248">
        <f>IF(I248="Y",B248*D248*Escalation!$B$6,0)</f>
        <v/>
      </c>
      <c r="P248">
        <f>IF(J248="Y",B248*D248*Escalation!$B$7,0)</f>
        <v/>
      </c>
      <c r="R248">
        <f>SUM(K248:P248)</f>
        <v/>
      </c>
    </row>
    <row r="249">
      <c r="K249">
        <f>IF(E249="Y",B249*D249*Escalation!$B$2,0)</f>
        <v/>
      </c>
      <c r="L249">
        <f>IF(F249="Y",B249*D249*Escalation!$B$3,0)</f>
        <v/>
      </c>
      <c r="M249">
        <f>IF(G249="Y",B249*D249*Escalation!$B$4,0)</f>
        <v/>
      </c>
      <c r="N249">
        <f>IF(H249="Y",B249*D249*Escalation!$B$5,0)</f>
        <v/>
      </c>
      <c r="O249">
        <f>IF(I249="Y",B249*D249*Escalation!$B$6,0)</f>
        <v/>
      </c>
      <c r="P249">
        <f>IF(J249="Y",B249*D249*Escalation!$B$7,0)</f>
        <v/>
      </c>
      <c r="R249">
        <f>SUM(K249:P249)</f>
        <v/>
      </c>
    </row>
    <row r="250">
      <c r="K250">
        <f>IF(E250="Y",B250*D250*Escalation!$B$2,0)</f>
        <v/>
      </c>
      <c r="L250">
        <f>IF(F250="Y",B250*D250*Escalation!$B$3,0)</f>
        <v/>
      </c>
      <c r="M250">
        <f>IF(G250="Y",B250*D250*Escalation!$B$4,0)</f>
        <v/>
      </c>
      <c r="N250">
        <f>IF(H250="Y",B250*D250*Escalation!$B$5,0)</f>
        <v/>
      </c>
      <c r="O250">
        <f>IF(I250="Y",B250*D250*Escalation!$B$6,0)</f>
        <v/>
      </c>
      <c r="P250">
        <f>IF(J250="Y",B250*D250*Escalation!$B$7,0)</f>
        <v/>
      </c>
      <c r="R250">
        <f>SUM(K250:P250)</f>
        <v/>
      </c>
    </row>
    <row r="251">
      <c r="K251">
        <f>IF(E251="Y",B251*D251*Escalation!$B$2,0)</f>
        <v/>
      </c>
      <c r="L251">
        <f>IF(F251="Y",B251*D251*Escalation!$B$3,0)</f>
        <v/>
      </c>
      <c r="M251">
        <f>IF(G251="Y",B251*D251*Escalation!$B$4,0)</f>
        <v/>
      </c>
      <c r="N251">
        <f>IF(H251="Y",B251*D251*Escalation!$B$5,0)</f>
        <v/>
      </c>
      <c r="O251">
        <f>IF(I251="Y",B251*D251*Escalation!$B$6,0)</f>
        <v/>
      </c>
      <c r="P251">
        <f>IF(J251="Y",B251*D251*Escalation!$B$7,0)</f>
        <v/>
      </c>
      <c r="R251">
        <f>SUM(K251:P251)</f>
        <v/>
      </c>
    </row>
    <row r="252">
      <c r="K252">
        <f>IF(E252="Y",B252*D252*Escalation!$B$2,0)</f>
        <v/>
      </c>
      <c r="L252">
        <f>IF(F252="Y",B252*D252*Escalation!$B$3,0)</f>
        <v/>
      </c>
      <c r="M252">
        <f>IF(G252="Y",B252*D252*Escalation!$B$4,0)</f>
        <v/>
      </c>
      <c r="N252">
        <f>IF(H252="Y",B252*D252*Escalation!$B$5,0)</f>
        <v/>
      </c>
      <c r="O252">
        <f>IF(I252="Y",B252*D252*Escalation!$B$6,0)</f>
        <v/>
      </c>
      <c r="P252">
        <f>IF(J252="Y",B252*D252*Escalation!$B$7,0)</f>
        <v/>
      </c>
      <c r="R252">
        <f>SUM(K252:P252)</f>
        <v/>
      </c>
    </row>
    <row r="253">
      <c r="K253">
        <f>IF(E253="Y",B253*D253*Escalation!$B$2,0)</f>
        <v/>
      </c>
      <c r="L253">
        <f>IF(F253="Y",B253*D253*Escalation!$B$3,0)</f>
        <v/>
      </c>
      <c r="M253">
        <f>IF(G253="Y",B253*D253*Escalation!$B$4,0)</f>
        <v/>
      </c>
      <c r="N253">
        <f>IF(H253="Y",B253*D253*Escalation!$B$5,0)</f>
        <v/>
      </c>
      <c r="O253">
        <f>IF(I253="Y",B253*D253*Escalation!$B$6,0)</f>
        <v/>
      </c>
      <c r="P253">
        <f>IF(J253="Y",B253*D253*Escalation!$B$7,0)</f>
        <v/>
      </c>
      <c r="R253">
        <f>SUM(K253:P253)</f>
        <v/>
      </c>
    </row>
    <row r="254">
      <c r="K254">
        <f>IF(E254="Y",B254*D254*Escalation!$B$2,0)</f>
        <v/>
      </c>
      <c r="L254">
        <f>IF(F254="Y",B254*D254*Escalation!$B$3,0)</f>
        <v/>
      </c>
      <c r="M254">
        <f>IF(G254="Y",B254*D254*Escalation!$B$4,0)</f>
        <v/>
      </c>
      <c r="N254">
        <f>IF(H254="Y",B254*D254*Escalation!$B$5,0)</f>
        <v/>
      </c>
      <c r="O254">
        <f>IF(I254="Y",B254*D254*Escalation!$B$6,0)</f>
        <v/>
      </c>
      <c r="P254">
        <f>IF(J254="Y",B254*D254*Escalation!$B$7,0)</f>
        <v/>
      </c>
      <c r="R254">
        <f>SUM(K254:P254)</f>
        <v/>
      </c>
    </row>
    <row r="255">
      <c r="K255">
        <f>IF(E255="Y",B255*D255*Escalation!$B$2,0)</f>
        <v/>
      </c>
      <c r="L255">
        <f>IF(F255="Y",B255*D255*Escalation!$B$3,0)</f>
        <v/>
      </c>
      <c r="M255">
        <f>IF(G255="Y",B255*D255*Escalation!$B$4,0)</f>
        <v/>
      </c>
      <c r="N255">
        <f>IF(H255="Y",B255*D255*Escalation!$B$5,0)</f>
        <v/>
      </c>
      <c r="O255">
        <f>IF(I255="Y",B255*D255*Escalation!$B$6,0)</f>
        <v/>
      </c>
      <c r="P255">
        <f>IF(J255="Y",B255*D255*Escalation!$B$7,0)</f>
        <v/>
      </c>
      <c r="R255">
        <f>SUM(K255:P255)</f>
        <v/>
      </c>
    </row>
    <row r="256">
      <c r="K256">
        <f>IF(E256="Y",B256*D256*Escalation!$B$2,0)</f>
        <v/>
      </c>
      <c r="L256">
        <f>IF(F256="Y",B256*D256*Escalation!$B$3,0)</f>
        <v/>
      </c>
      <c r="M256">
        <f>IF(G256="Y",B256*D256*Escalation!$B$4,0)</f>
        <v/>
      </c>
      <c r="N256">
        <f>IF(H256="Y",B256*D256*Escalation!$B$5,0)</f>
        <v/>
      </c>
      <c r="O256">
        <f>IF(I256="Y",B256*D256*Escalation!$B$6,0)</f>
        <v/>
      </c>
      <c r="P256">
        <f>IF(J256="Y",B256*D256*Escalation!$B$7,0)</f>
        <v/>
      </c>
      <c r="R256">
        <f>SUM(K256:P256)</f>
        <v/>
      </c>
    </row>
    <row r="257">
      <c r="K257">
        <f>IF(E257="Y",B257*D257*Escalation!$B$2,0)</f>
        <v/>
      </c>
      <c r="L257">
        <f>IF(F257="Y",B257*D257*Escalation!$B$3,0)</f>
        <v/>
      </c>
      <c r="M257">
        <f>IF(G257="Y",B257*D257*Escalation!$B$4,0)</f>
        <v/>
      </c>
      <c r="N257">
        <f>IF(H257="Y",B257*D257*Escalation!$B$5,0)</f>
        <v/>
      </c>
      <c r="O257">
        <f>IF(I257="Y",B257*D257*Escalation!$B$6,0)</f>
        <v/>
      </c>
      <c r="P257">
        <f>IF(J257="Y",B257*D257*Escalation!$B$7,0)</f>
        <v/>
      </c>
      <c r="R257">
        <f>SUM(K257:P257)</f>
        <v/>
      </c>
    </row>
    <row r="258">
      <c r="K258">
        <f>IF(E258="Y",B258*D258*Escalation!$B$2,0)</f>
        <v/>
      </c>
      <c r="L258">
        <f>IF(F258="Y",B258*D258*Escalation!$B$3,0)</f>
        <v/>
      </c>
      <c r="M258">
        <f>IF(G258="Y",B258*D258*Escalation!$B$4,0)</f>
        <v/>
      </c>
      <c r="N258">
        <f>IF(H258="Y",B258*D258*Escalation!$B$5,0)</f>
        <v/>
      </c>
      <c r="O258">
        <f>IF(I258="Y",B258*D258*Escalation!$B$6,0)</f>
        <v/>
      </c>
      <c r="P258">
        <f>IF(J258="Y",B258*D258*Escalation!$B$7,0)</f>
        <v/>
      </c>
      <c r="R258">
        <f>SUM(K258:P258)</f>
        <v/>
      </c>
    </row>
    <row r="259">
      <c r="K259">
        <f>IF(E259="Y",B259*D259*Escalation!$B$2,0)</f>
        <v/>
      </c>
      <c r="L259">
        <f>IF(F259="Y",B259*D259*Escalation!$B$3,0)</f>
        <v/>
      </c>
      <c r="M259">
        <f>IF(G259="Y",B259*D259*Escalation!$B$4,0)</f>
        <v/>
      </c>
      <c r="N259">
        <f>IF(H259="Y",B259*D259*Escalation!$B$5,0)</f>
        <v/>
      </c>
      <c r="O259">
        <f>IF(I259="Y",B259*D259*Escalation!$B$6,0)</f>
        <v/>
      </c>
      <c r="P259">
        <f>IF(J259="Y",B259*D259*Escalation!$B$7,0)</f>
        <v/>
      </c>
      <c r="R259">
        <f>SUM(K259:P259)</f>
        <v/>
      </c>
    </row>
    <row r="260">
      <c r="K260">
        <f>IF(E260="Y",B260*D260*Escalation!$B$2,0)</f>
        <v/>
      </c>
      <c r="L260">
        <f>IF(F260="Y",B260*D260*Escalation!$B$3,0)</f>
        <v/>
      </c>
      <c r="M260">
        <f>IF(G260="Y",B260*D260*Escalation!$B$4,0)</f>
        <v/>
      </c>
      <c r="N260">
        <f>IF(H260="Y",B260*D260*Escalation!$B$5,0)</f>
        <v/>
      </c>
      <c r="O260">
        <f>IF(I260="Y",B260*D260*Escalation!$B$6,0)</f>
        <v/>
      </c>
      <c r="P260">
        <f>IF(J260="Y",B260*D260*Escalation!$B$7,0)</f>
        <v/>
      </c>
      <c r="R260">
        <f>SUM(K260:P260)</f>
        <v/>
      </c>
    </row>
    <row r="261">
      <c r="K261">
        <f>IF(E261="Y",B261*D261*Escalation!$B$2,0)</f>
        <v/>
      </c>
      <c r="L261">
        <f>IF(F261="Y",B261*D261*Escalation!$B$3,0)</f>
        <v/>
      </c>
      <c r="M261">
        <f>IF(G261="Y",B261*D261*Escalation!$B$4,0)</f>
        <v/>
      </c>
      <c r="N261">
        <f>IF(H261="Y",B261*D261*Escalation!$B$5,0)</f>
        <v/>
      </c>
      <c r="O261">
        <f>IF(I261="Y",B261*D261*Escalation!$B$6,0)</f>
        <v/>
      </c>
      <c r="P261">
        <f>IF(J261="Y",B261*D261*Escalation!$B$7,0)</f>
        <v/>
      </c>
      <c r="R261">
        <f>SUM(K261:P261)</f>
        <v/>
      </c>
    </row>
    <row r="262">
      <c r="K262">
        <f>IF(E262="Y",B262*D262*Escalation!$B$2,0)</f>
        <v/>
      </c>
      <c r="L262">
        <f>IF(F262="Y",B262*D262*Escalation!$B$3,0)</f>
        <v/>
      </c>
      <c r="M262">
        <f>IF(G262="Y",B262*D262*Escalation!$B$4,0)</f>
        <v/>
      </c>
      <c r="N262">
        <f>IF(H262="Y",B262*D262*Escalation!$B$5,0)</f>
        <v/>
      </c>
      <c r="O262">
        <f>IF(I262="Y",B262*D262*Escalation!$B$6,0)</f>
        <v/>
      </c>
      <c r="P262">
        <f>IF(J262="Y",B262*D262*Escalation!$B$7,0)</f>
        <v/>
      </c>
      <c r="R262">
        <f>SUM(K262:P262)</f>
        <v/>
      </c>
    </row>
    <row r="263">
      <c r="K263">
        <f>IF(E263="Y",B263*D263*Escalation!$B$2,0)</f>
        <v/>
      </c>
      <c r="L263">
        <f>IF(F263="Y",B263*D263*Escalation!$B$3,0)</f>
        <v/>
      </c>
      <c r="M263">
        <f>IF(G263="Y",B263*D263*Escalation!$B$4,0)</f>
        <v/>
      </c>
      <c r="N263">
        <f>IF(H263="Y",B263*D263*Escalation!$B$5,0)</f>
        <v/>
      </c>
      <c r="O263">
        <f>IF(I263="Y",B263*D263*Escalation!$B$6,0)</f>
        <v/>
      </c>
      <c r="P263">
        <f>IF(J263="Y",B263*D263*Escalation!$B$7,0)</f>
        <v/>
      </c>
      <c r="R263">
        <f>SUM(K263:P263)</f>
        <v/>
      </c>
    </row>
    <row r="264">
      <c r="K264">
        <f>IF(E264="Y",B264*D264*Escalation!$B$2,0)</f>
        <v/>
      </c>
      <c r="L264">
        <f>IF(F264="Y",B264*D264*Escalation!$B$3,0)</f>
        <v/>
      </c>
      <c r="M264">
        <f>IF(G264="Y",B264*D264*Escalation!$B$4,0)</f>
        <v/>
      </c>
      <c r="N264">
        <f>IF(H264="Y",B264*D264*Escalation!$B$5,0)</f>
        <v/>
      </c>
      <c r="O264">
        <f>IF(I264="Y",B264*D264*Escalation!$B$6,0)</f>
        <v/>
      </c>
      <c r="P264">
        <f>IF(J264="Y",B264*D264*Escalation!$B$7,0)</f>
        <v/>
      </c>
      <c r="R264">
        <f>SUM(K264:P264)</f>
        <v/>
      </c>
    </row>
    <row r="265">
      <c r="K265">
        <f>IF(E265="Y",B265*D265*Escalation!$B$2,0)</f>
        <v/>
      </c>
      <c r="L265">
        <f>IF(F265="Y",B265*D265*Escalation!$B$3,0)</f>
        <v/>
      </c>
      <c r="M265">
        <f>IF(G265="Y",B265*D265*Escalation!$B$4,0)</f>
        <v/>
      </c>
      <c r="N265">
        <f>IF(H265="Y",B265*D265*Escalation!$B$5,0)</f>
        <v/>
      </c>
      <c r="O265">
        <f>IF(I265="Y",B265*D265*Escalation!$B$6,0)</f>
        <v/>
      </c>
      <c r="P265">
        <f>IF(J265="Y",B265*D265*Escalation!$B$7,0)</f>
        <v/>
      </c>
      <c r="R265">
        <f>SUM(K265:P265)</f>
        <v/>
      </c>
    </row>
    <row r="266">
      <c r="K266">
        <f>IF(E266="Y",B266*D266*Escalation!$B$2,0)</f>
        <v/>
      </c>
      <c r="L266">
        <f>IF(F266="Y",B266*D266*Escalation!$B$3,0)</f>
        <v/>
      </c>
      <c r="M266">
        <f>IF(G266="Y",B266*D266*Escalation!$B$4,0)</f>
        <v/>
      </c>
      <c r="N266">
        <f>IF(H266="Y",B266*D266*Escalation!$B$5,0)</f>
        <v/>
      </c>
      <c r="O266">
        <f>IF(I266="Y",B266*D266*Escalation!$B$6,0)</f>
        <v/>
      </c>
      <c r="P266">
        <f>IF(J266="Y",B266*D266*Escalation!$B$7,0)</f>
        <v/>
      </c>
      <c r="R266">
        <f>SUM(K266:P266)</f>
        <v/>
      </c>
    </row>
    <row r="267">
      <c r="K267">
        <f>IF(E267="Y",B267*D267*Escalation!$B$2,0)</f>
        <v/>
      </c>
      <c r="L267">
        <f>IF(F267="Y",B267*D267*Escalation!$B$3,0)</f>
        <v/>
      </c>
      <c r="M267">
        <f>IF(G267="Y",B267*D267*Escalation!$B$4,0)</f>
        <v/>
      </c>
      <c r="N267">
        <f>IF(H267="Y",B267*D267*Escalation!$B$5,0)</f>
        <v/>
      </c>
      <c r="O267">
        <f>IF(I267="Y",B267*D267*Escalation!$B$6,0)</f>
        <v/>
      </c>
      <c r="P267">
        <f>IF(J267="Y",B267*D267*Escalation!$B$7,0)</f>
        <v/>
      </c>
      <c r="R267">
        <f>SUM(K267:P267)</f>
        <v/>
      </c>
    </row>
    <row r="268">
      <c r="K268">
        <f>IF(E268="Y",B268*D268*Escalation!$B$2,0)</f>
        <v/>
      </c>
      <c r="L268">
        <f>IF(F268="Y",B268*D268*Escalation!$B$3,0)</f>
        <v/>
      </c>
      <c r="M268">
        <f>IF(G268="Y",B268*D268*Escalation!$B$4,0)</f>
        <v/>
      </c>
      <c r="N268">
        <f>IF(H268="Y",B268*D268*Escalation!$B$5,0)</f>
        <v/>
      </c>
      <c r="O268">
        <f>IF(I268="Y",B268*D268*Escalation!$B$6,0)</f>
        <v/>
      </c>
      <c r="P268">
        <f>IF(J268="Y",B268*D268*Escalation!$B$7,0)</f>
        <v/>
      </c>
      <c r="R268">
        <f>SUM(K268:P268)</f>
        <v/>
      </c>
    </row>
    <row r="269">
      <c r="K269">
        <f>IF(E269="Y",B269*D269*Escalation!$B$2,0)</f>
        <v/>
      </c>
      <c r="L269">
        <f>IF(F269="Y",B269*D269*Escalation!$B$3,0)</f>
        <v/>
      </c>
      <c r="M269">
        <f>IF(G269="Y",B269*D269*Escalation!$B$4,0)</f>
        <v/>
      </c>
      <c r="N269">
        <f>IF(H269="Y",B269*D269*Escalation!$B$5,0)</f>
        <v/>
      </c>
      <c r="O269">
        <f>IF(I269="Y",B269*D269*Escalation!$B$6,0)</f>
        <v/>
      </c>
      <c r="P269">
        <f>IF(J269="Y",B269*D269*Escalation!$B$7,0)</f>
        <v/>
      </c>
      <c r="R269">
        <f>SUM(K269:P269)</f>
        <v/>
      </c>
    </row>
    <row r="270">
      <c r="K270">
        <f>IF(E270="Y",B270*D270*Escalation!$B$2,0)</f>
        <v/>
      </c>
      <c r="L270">
        <f>IF(F270="Y",B270*D270*Escalation!$B$3,0)</f>
        <v/>
      </c>
      <c r="M270">
        <f>IF(G270="Y",B270*D270*Escalation!$B$4,0)</f>
        <v/>
      </c>
      <c r="N270">
        <f>IF(H270="Y",B270*D270*Escalation!$B$5,0)</f>
        <v/>
      </c>
      <c r="O270">
        <f>IF(I270="Y",B270*D270*Escalation!$B$6,0)</f>
        <v/>
      </c>
      <c r="P270">
        <f>IF(J270="Y",B270*D270*Escalation!$B$7,0)</f>
        <v/>
      </c>
      <c r="R270">
        <f>SUM(K270:P270)</f>
        <v/>
      </c>
    </row>
    <row r="271">
      <c r="K271">
        <f>IF(E271="Y",B271*D271*Escalation!$B$2,0)</f>
        <v/>
      </c>
      <c r="L271">
        <f>IF(F271="Y",B271*D271*Escalation!$B$3,0)</f>
        <v/>
      </c>
      <c r="M271">
        <f>IF(G271="Y",B271*D271*Escalation!$B$4,0)</f>
        <v/>
      </c>
      <c r="N271">
        <f>IF(H271="Y",B271*D271*Escalation!$B$5,0)</f>
        <v/>
      </c>
      <c r="O271">
        <f>IF(I271="Y",B271*D271*Escalation!$B$6,0)</f>
        <v/>
      </c>
      <c r="P271">
        <f>IF(J271="Y",B271*D271*Escalation!$B$7,0)</f>
        <v/>
      </c>
      <c r="R271">
        <f>SUM(K271:P271)</f>
        <v/>
      </c>
    </row>
    <row r="272">
      <c r="K272">
        <f>IF(E272="Y",B272*D272*Escalation!$B$2,0)</f>
        <v/>
      </c>
      <c r="L272">
        <f>IF(F272="Y",B272*D272*Escalation!$B$3,0)</f>
        <v/>
      </c>
      <c r="M272">
        <f>IF(G272="Y",B272*D272*Escalation!$B$4,0)</f>
        <v/>
      </c>
      <c r="N272">
        <f>IF(H272="Y",B272*D272*Escalation!$B$5,0)</f>
        <v/>
      </c>
      <c r="O272">
        <f>IF(I272="Y",B272*D272*Escalation!$B$6,0)</f>
        <v/>
      </c>
      <c r="P272">
        <f>IF(J272="Y",B272*D272*Escalation!$B$7,0)</f>
        <v/>
      </c>
      <c r="R272">
        <f>SUM(K272:P272)</f>
        <v/>
      </c>
    </row>
    <row r="273">
      <c r="K273">
        <f>IF(E273="Y",B273*D273*Escalation!$B$2,0)</f>
        <v/>
      </c>
      <c r="L273">
        <f>IF(F273="Y",B273*D273*Escalation!$B$3,0)</f>
        <v/>
      </c>
      <c r="M273">
        <f>IF(G273="Y",B273*D273*Escalation!$B$4,0)</f>
        <v/>
      </c>
      <c r="N273">
        <f>IF(H273="Y",B273*D273*Escalation!$B$5,0)</f>
        <v/>
      </c>
      <c r="O273">
        <f>IF(I273="Y",B273*D273*Escalation!$B$6,0)</f>
        <v/>
      </c>
      <c r="P273">
        <f>IF(J273="Y",B273*D273*Escalation!$B$7,0)</f>
        <v/>
      </c>
      <c r="R273">
        <f>SUM(K273:P273)</f>
        <v/>
      </c>
    </row>
    <row r="274">
      <c r="K274">
        <f>IF(E274="Y",B274*D274*Escalation!$B$2,0)</f>
        <v/>
      </c>
      <c r="L274">
        <f>IF(F274="Y",B274*D274*Escalation!$B$3,0)</f>
        <v/>
      </c>
      <c r="M274">
        <f>IF(G274="Y",B274*D274*Escalation!$B$4,0)</f>
        <v/>
      </c>
      <c r="N274">
        <f>IF(H274="Y",B274*D274*Escalation!$B$5,0)</f>
        <v/>
      </c>
      <c r="O274">
        <f>IF(I274="Y",B274*D274*Escalation!$B$6,0)</f>
        <v/>
      </c>
      <c r="P274">
        <f>IF(J274="Y",B274*D274*Escalation!$B$7,0)</f>
        <v/>
      </c>
      <c r="R274">
        <f>SUM(K274:P274)</f>
        <v/>
      </c>
    </row>
    <row r="275">
      <c r="K275">
        <f>IF(E275="Y",B275*D275*Escalation!$B$2,0)</f>
        <v/>
      </c>
      <c r="L275">
        <f>IF(F275="Y",B275*D275*Escalation!$B$3,0)</f>
        <v/>
      </c>
      <c r="M275">
        <f>IF(G275="Y",B275*D275*Escalation!$B$4,0)</f>
        <v/>
      </c>
      <c r="N275">
        <f>IF(H275="Y",B275*D275*Escalation!$B$5,0)</f>
        <v/>
      </c>
      <c r="O275">
        <f>IF(I275="Y",B275*D275*Escalation!$B$6,0)</f>
        <v/>
      </c>
      <c r="P275">
        <f>IF(J275="Y",B275*D275*Escalation!$B$7,0)</f>
        <v/>
      </c>
      <c r="R275">
        <f>SUM(K275:P275)</f>
        <v/>
      </c>
    </row>
    <row r="276">
      <c r="K276">
        <f>IF(E276="Y",B276*D276*Escalation!$B$2,0)</f>
        <v/>
      </c>
      <c r="L276">
        <f>IF(F276="Y",B276*D276*Escalation!$B$3,0)</f>
        <v/>
      </c>
      <c r="M276">
        <f>IF(G276="Y",B276*D276*Escalation!$B$4,0)</f>
        <v/>
      </c>
      <c r="N276">
        <f>IF(H276="Y",B276*D276*Escalation!$B$5,0)</f>
        <v/>
      </c>
      <c r="O276">
        <f>IF(I276="Y",B276*D276*Escalation!$B$6,0)</f>
        <v/>
      </c>
      <c r="P276">
        <f>IF(J276="Y",B276*D276*Escalation!$B$7,0)</f>
        <v/>
      </c>
      <c r="R276">
        <f>SUM(K276:P276)</f>
        <v/>
      </c>
    </row>
    <row r="277">
      <c r="K277">
        <f>IF(E277="Y",B277*D277*Escalation!$B$2,0)</f>
        <v/>
      </c>
      <c r="L277">
        <f>IF(F277="Y",B277*D277*Escalation!$B$3,0)</f>
        <v/>
      </c>
      <c r="M277">
        <f>IF(G277="Y",B277*D277*Escalation!$B$4,0)</f>
        <v/>
      </c>
      <c r="N277">
        <f>IF(H277="Y",B277*D277*Escalation!$B$5,0)</f>
        <v/>
      </c>
      <c r="O277">
        <f>IF(I277="Y",B277*D277*Escalation!$B$6,0)</f>
        <v/>
      </c>
      <c r="P277">
        <f>IF(J277="Y",B277*D277*Escalation!$B$7,0)</f>
        <v/>
      </c>
      <c r="R277">
        <f>SUM(K277:P277)</f>
        <v/>
      </c>
    </row>
    <row r="278">
      <c r="K278">
        <f>IF(E278="Y",B278*D278*Escalation!$B$2,0)</f>
        <v/>
      </c>
      <c r="L278">
        <f>IF(F278="Y",B278*D278*Escalation!$B$3,0)</f>
        <v/>
      </c>
      <c r="M278">
        <f>IF(G278="Y",B278*D278*Escalation!$B$4,0)</f>
        <v/>
      </c>
      <c r="N278">
        <f>IF(H278="Y",B278*D278*Escalation!$B$5,0)</f>
        <v/>
      </c>
      <c r="O278">
        <f>IF(I278="Y",B278*D278*Escalation!$B$6,0)</f>
        <v/>
      </c>
      <c r="P278">
        <f>IF(J278="Y",B278*D278*Escalation!$B$7,0)</f>
        <v/>
      </c>
      <c r="R278">
        <f>SUM(K278:P278)</f>
        <v/>
      </c>
    </row>
    <row r="279">
      <c r="K279">
        <f>IF(E279="Y",B279*D279*Escalation!$B$2,0)</f>
        <v/>
      </c>
      <c r="L279">
        <f>IF(F279="Y",B279*D279*Escalation!$B$3,0)</f>
        <v/>
      </c>
      <c r="M279">
        <f>IF(G279="Y",B279*D279*Escalation!$B$4,0)</f>
        <v/>
      </c>
      <c r="N279">
        <f>IF(H279="Y",B279*D279*Escalation!$B$5,0)</f>
        <v/>
      </c>
      <c r="O279">
        <f>IF(I279="Y",B279*D279*Escalation!$B$6,0)</f>
        <v/>
      </c>
      <c r="P279">
        <f>IF(J279="Y",B279*D279*Escalation!$B$7,0)</f>
        <v/>
      </c>
      <c r="R279">
        <f>SUM(K279:P279)</f>
        <v/>
      </c>
    </row>
    <row r="280">
      <c r="K280">
        <f>IF(E280="Y",B280*D280*Escalation!$B$2,0)</f>
        <v/>
      </c>
      <c r="L280">
        <f>IF(F280="Y",B280*D280*Escalation!$B$3,0)</f>
        <v/>
      </c>
      <c r="M280">
        <f>IF(G280="Y",B280*D280*Escalation!$B$4,0)</f>
        <v/>
      </c>
      <c r="N280">
        <f>IF(H280="Y",B280*D280*Escalation!$B$5,0)</f>
        <v/>
      </c>
      <c r="O280">
        <f>IF(I280="Y",B280*D280*Escalation!$B$6,0)</f>
        <v/>
      </c>
      <c r="P280">
        <f>IF(J280="Y",B280*D280*Escalation!$B$7,0)</f>
        <v/>
      </c>
      <c r="R280">
        <f>SUM(K280:P280)</f>
        <v/>
      </c>
    </row>
    <row r="281">
      <c r="K281">
        <f>IF(E281="Y",B281*D281*Escalation!$B$2,0)</f>
        <v/>
      </c>
      <c r="L281">
        <f>IF(F281="Y",B281*D281*Escalation!$B$3,0)</f>
        <v/>
      </c>
      <c r="M281">
        <f>IF(G281="Y",B281*D281*Escalation!$B$4,0)</f>
        <v/>
      </c>
      <c r="N281">
        <f>IF(H281="Y",B281*D281*Escalation!$B$5,0)</f>
        <v/>
      </c>
      <c r="O281">
        <f>IF(I281="Y",B281*D281*Escalation!$B$6,0)</f>
        <v/>
      </c>
      <c r="P281">
        <f>IF(J281="Y",B281*D281*Escalation!$B$7,0)</f>
        <v/>
      </c>
      <c r="R281">
        <f>SUM(K281:P281)</f>
        <v/>
      </c>
    </row>
    <row r="282">
      <c r="K282">
        <f>IF(E282="Y",B282*D282*Escalation!$B$2,0)</f>
        <v/>
      </c>
      <c r="L282">
        <f>IF(F282="Y",B282*D282*Escalation!$B$3,0)</f>
        <v/>
      </c>
      <c r="M282">
        <f>IF(G282="Y",B282*D282*Escalation!$B$4,0)</f>
        <v/>
      </c>
      <c r="N282">
        <f>IF(H282="Y",B282*D282*Escalation!$B$5,0)</f>
        <v/>
      </c>
      <c r="O282">
        <f>IF(I282="Y",B282*D282*Escalation!$B$6,0)</f>
        <v/>
      </c>
      <c r="P282">
        <f>IF(J282="Y",B282*D282*Escalation!$B$7,0)</f>
        <v/>
      </c>
      <c r="R282">
        <f>SUM(K282:P282)</f>
        <v/>
      </c>
    </row>
    <row r="283">
      <c r="K283">
        <f>IF(E283="Y",B283*D283*Escalation!$B$2,0)</f>
        <v/>
      </c>
      <c r="L283">
        <f>IF(F283="Y",B283*D283*Escalation!$B$3,0)</f>
        <v/>
      </c>
      <c r="M283">
        <f>IF(G283="Y",B283*D283*Escalation!$B$4,0)</f>
        <v/>
      </c>
      <c r="N283">
        <f>IF(H283="Y",B283*D283*Escalation!$B$5,0)</f>
        <v/>
      </c>
      <c r="O283">
        <f>IF(I283="Y",B283*D283*Escalation!$B$6,0)</f>
        <v/>
      </c>
      <c r="P283">
        <f>IF(J283="Y",B283*D283*Escalation!$B$7,0)</f>
        <v/>
      </c>
      <c r="R283">
        <f>SUM(K283:P283)</f>
        <v/>
      </c>
    </row>
    <row r="284">
      <c r="K284">
        <f>IF(E284="Y",B284*D284*Escalation!$B$2,0)</f>
        <v/>
      </c>
      <c r="L284">
        <f>IF(F284="Y",B284*D284*Escalation!$B$3,0)</f>
        <v/>
      </c>
      <c r="M284">
        <f>IF(G284="Y",B284*D284*Escalation!$B$4,0)</f>
        <v/>
      </c>
      <c r="N284">
        <f>IF(H284="Y",B284*D284*Escalation!$B$5,0)</f>
        <v/>
      </c>
      <c r="O284">
        <f>IF(I284="Y",B284*D284*Escalation!$B$6,0)</f>
        <v/>
      </c>
      <c r="P284">
        <f>IF(J284="Y",B284*D284*Escalation!$B$7,0)</f>
        <v/>
      </c>
      <c r="R284">
        <f>SUM(K284:P284)</f>
        <v/>
      </c>
    </row>
    <row r="285">
      <c r="K285">
        <f>IF(E285="Y",B285*D285*Escalation!$B$2,0)</f>
        <v/>
      </c>
      <c r="L285">
        <f>IF(F285="Y",B285*D285*Escalation!$B$3,0)</f>
        <v/>
      </c>
      <c r="M285">
        <f>IF(G285="Y",B285*D285*Escalation!$B$4,0)</f>
        <v/>
      </c>
      <c r="N285">
        <f>IF(H285="Y",B285*D285*Escalation!$B$5,0)</f>
        <v/>
      </c>
      <c r="O285">
        <f>IF(I285="Y",B285*D285*Escalation!$B$6,0)</f>
        <v/>
      </c>
      <c r="P285">
        <f>IF(J285="Y",B285*D285*Escalation!$B$7,0)</f>
        <v/>
      </c>
      <c r="R285">
        <f>SUM(K285:P285)</f>
        <v/>
      </c>
    </row>
    <row r="286">
      <c r="K286">
        <f>IF(E286="Y",B286*D286*Escalation!$B$2,0)</f>
        <v/>
      </c>
      <c r="L286">
        <f>IF(F286="Y",B286*D286*Escalation!$B$3,0)</f>
        <v/>
      </c>
      <c r="M286">
        <f>IF(G286="Y",B286*D286*Escalation!$B$4,0)</f>
        <v/>
      </c>
      <c r="N286">
        <f>IF(H286="Y",B286*D286*Escalation!$B$5,0)</f>
        <v/>
      </c>
      <c r="O286">
        <f>IF(I286="Y",B286*D286*Escalation!$B$6,0)</f>
        <v/>
      </c>
      <c r="P286">
        <f>IF(J286="Y",B286*D286*Escalation!$B$7,0)</f>
        <v/>
      </c>
      <c r="R286">
        <f>SUM(K286:P286)</f>
        <v/>
      </c>
    </row>
    <row r="287">
      <c r="K287">
        <f>IF(E287="Y",B287*D287*Escalation!$B$2,0)</f>
        <v/>
      </c>
      <c r="L287">
        <f>IF(F287="Y",B287*D287*Escalation!$B$3,0)</f>
        <v/>
      </c>
      <c r="M287">
        <f>IF(G287="Y",B287*D287*Escalation!$B$4,0)</f>
        <v/>
      </c>
      <c r="N287">
        <f>IF(H287="Y",B287*D287*Escalation!$B$5,0)</f>
        <v/>
      </c>
      <c r="O287">
        <f>IF(I287="Y",B287*D287*Escalation!$B$6,0)</f>
        <v/>
      </c>
      <c r="P287">
        <f>IF(J287="Y",B287*D287*Escalation!$B$7,0)</f>
        <v/>
      </c>
      <c r="R287">
        <f>SUM(K287:P287)</f>
        <v/>
      </c>
    </row>
    <row r="288">
      <c r="K288">
        <f>IF(E288="Y",B288*D288*Escalation!$B$2,0)</f>
        <v/>
      </c>
      <c r="L288">
        <f>IF(F288="Y",B288*D288*Escalation!$B$3,0)</f>
        <v/>
      </c>
      <c r="M288">
        <f>IF(G288="Y",B288*D288*Escalation!$B$4,0)</f>
        <v/>
      </c>
      <c r="N288">
        <f>IF(H288="Y",B288*D288*Escalation!$B$5,0)</f>
        <v/>
      </c>
      <c r="O288">
        <f>IF(I288="Y",B288*D288*Escalation!$B$6,0)</f>
        <v/>
      </c>
      <c r="P288">
        <f>IF(J288="Y",B288*D288*Escalation!$B$7,0)</f>
        <v/>
      </c>
      <c r="R288">
        <f>SUM(K288:P288)</f>
        <v/>
      </c>
    </row>
    <row r="289">
      <c r="K289">
        <f>IF(E289="Y",B289*D289*Escalation!$B$2,0)</f>
        <v/>
      </c>
      <c r="L289">
        <f>IF(F289="Y",B289*D289*Escalation!$B$3,0)</f>
        <v/>
      </c>
      <c r="M289">
        <f>IF(G289="Y",B289*D289*Escalation!$B$4,0)</f>
        <v/>
      </c>
      <c r="N289">
        <f>IF(H289="Y",B289*D289*Escalation!$B$5,0)</f>
        <v/>
      </c>
      <c r="O289">
        <f>IF(I289="Y",B289*D289*Escalation!$B$6,0)</f>
        <v/>
      </c>
      <c r="P289">
        <f>IF(J289="Y",B289*D289*Escalation!$B$7,0)</f>
        <v/>
      </c>
      <c r="R289">
        <f>SUM(K289:P289)</f>
        <v/>
      </c>
    </row>
    <row r="290">
      <c r="K290">
        <f>IF(E290="Y",B290*D290*Escalation!$B$2,0)</f>
        <v/>
      </c>
      <c r="L290">
        <f>IF(F290="Y",B290*D290*Escalation!$B$3,0)</f>
        <v/>
      </c>
      <c r="M290">
        <f>IF(G290="Y",B290*D290*Escalation!$B$4,0)</f>
        <v/>
      </c>
      <c r="N290">
        <f>IF(H290="Y",B290*D290*Escalation!$B$5,0)</f>
        <v/>
      </c>
      <c r="O290">
        <f>IF(I290="Y",B290*D290*Escalation!$B$6,0)</f>
        <v/>
      </c>
      <c r="P290">
        <f>IF(J290="Y",B290*D290*Escalation!$B$7,0)</f>
        <v/>
      </c>
      <c r="R290">
        <f>SUM(K290:P290)</f>
        <v/>
      </c>
    </row>
    <row r="291">
      <c r="K291">
        <f>IF(E291="Y",B291*D291*Escalation!$B$2,0)</f>
        <v/>
      </c>
      <c r="L291">
        <f>IF(F291="Y",B291*D291*Escalation!$B$3,0)</f>
        <v/>
      </c>
      <c r="M291">
        <f>IF(G291="Y",B291*D291*Escalation!$B$4,0)</f>
        <v/>
      </c>
      <c r="N291">
        <f>IF(H291="Y",B291*D291*Escalation!$B$5,0)</f>
        <v/>
      </c>
      <c r="O291">
        <f>IF(I291="Y",B291*D291*Escalation!$B$6,0)</f>
        <v/>
      </c>
      <c r="P291">
        <f>IF(J291="Y",B291*D291*Escalation!$B$7,0)</f>
        <v/>
      </c>
      <c r="R291">
        <f>SUM(K291:P291)</f>
        <v/>
      </c>
    </row>
    <row r="292">
      <c r="K292">
        <f>IF(E292="Y",B292*D292*Escalation!$B$2,0)</f>
        <v/>
      </c>
      <c r="L292">
        <f>IF(F292="Y",B292*D292*Escalation!$B$3,0)</f>
        <v/>
      </c>
      <c r="M292">
        <f>IF(G292="Y",B292*D292*Escalation!$B$4,0)</f>
        <v/>
      </c>
      <c r="N292">
        <f>IF(H292="Y",B292*D292*Escalation!$B$5,0)</f>
        <v/>
      </c>
      <c r="O292">
        <f>IF(I292="Y",B292*D292*Escalation!$B$6,0)</f>
        <v/>
      </c>
      <c r="P292">
        <f>IF(J292="Y",B292*D292*Escalation!$B$7,0)</f>
        <v/>
      </c>
      <c r="R292">
        <f>SUM(K292:P292)</f>
        <v/>
      </c>
    </row>
    <row r="293">
      <c r="K293">
        <f>IF(E293="Y",B293*D293*Escalation!$B$2,0)</f>
        <v/>
      </c>
      <c r="L293">
        <f>IF(F293="Y",B293*D293*Escalation!$B$3,0)</f>
        <v/>
      </c>
      <c r="M293">
        <f>IF(G293="Y",B293*D293*Escalation!$B$4,0)</f>
        <v/>
      </c>
      <c r="N293">
        <f>IF(H293="Y",B293*D293*Escalation!$B$5,0)</f>
        <v/>
      </c>
      <c r="O293">
        <f>IF(I293="Y",B293*D293*Escalation!$B$6,0)</f>
        <v/>
      </c>
      <c r="P293">
        <f>IF(J293="Y",B293*D293*Escalation!$B$7,0)</f>
        <v/>
      </c>
      <c r="R293">
        <f>SUM(K293:P293)</f>
        <v/>
      </c>
    </row>
    <row r="294">
      <c r="K294">
        <f>IF(E294="Y",B294*D294*Escalation!$B$2,0)</f>
        <v/>
      </c>
      <c r="L294">
        <f>IF(F294="Y",B294*D294*Escalation!$B$3,0)</f>
        <v/>
      </c>
      <c r="M294">
        <f>IF(G294="Y",B294*D294*Escalation!$B$4,0)</f>
        <v/>
      </c>
      <c r="N294">
        <f>IF(H294="Y",B294*D294*Escalation!$B$5,0)</f>
        <v/>
      </c>
      <c r="O294">
        <f>IF(I294="Y",B294*D294*Escalation!$B$6,0)</f>
        <v/>
      </c>
      <c r="P294">
        <f>IF(J294="Y",B294*D294*Escalation!$B$7,0)</f>
        <v/>
      </c>
      <c r="R294">
        <f>SUM(K294:P294)</f>
        <v/>
      </c>
    </row>
    <row r="295">
      <c r="K295">
        <f>IF(E295="Y",B295*D295*Escalation!$B$2,0)</f>
        <v/>
      </c>
      <c r="L295">
        <f>IF(F295="Y",B295*D295*Escalation!$B$3,0)</f>
        <v/>
      </c>
      <c r="M295">
        <f>IF(G295="Y",B295*D295*Escalation!$B$4,0)</f>
        <v/>
      </c>
      <c r="N295">
        <f>IF(H295="Y",B295*D295*Escalation!$B$5,0)</f>
        <v/>
      </c>
      <c r="O295">
        <f>IF(I295="Y",B295*D295*Escalation!$B$6,0)</f>
        <v/>
      </c>
      <c r="P295">
        <f>IF(J295="Y",B295*D295*Escalation!$B$7,0)</f>
        <v/>
      </c>
      <c r="R295">
        <f>SUM(K295:P295)</f>
        <v/>
      </c>
    </row>
    <row r="296">
      <c r="K296">
        <f>IF(E296="Y",B296*D296*Escalation!$B$2,0)</f>
        <v/>
      </c>
      <c r="L296">
        <f>IF(F296="Y",B296*D296*Escalation!$B$3,0)</f>
        <v/>
      </c>
      <c r="M296">
        <f>IF(G296="Y",B296*D296*Escalation!$B$4,0)</f>
        <v/>
      </c>
      <c r="N296">
        <f>IF(H296="Y",B296*D296*Escalation!$B$5,0)</f>
        <v/>
      </c>
      <c r="O296">
        <f>IF(I296="Y",B296*D296*Escalation!$B$6,0)</f>
        <v/>
      </c>
      <c r="P296">
        <f>IF(J296="Y",B296*D296*Escalation!$B$7,0)</f>
        <v/>
      </c>
      <c r="R296">
        <f>SUM(K296:P296)</f>
        <v/>
      </c>
    </row>
    <row r="297">
      <c r="K297">
        <f>IF(E297="Y",B297*D297*Escalation!$B$2,0)</f>
        <v/>
      </c>
      <c r="L297">
        <f>IF(F297="Y",B297*D297*Escalation!$B$3,0)</f>
        <v/>
      </c>
      <c r="M297">
        <f>IF(G297="Y",B297*D297*Escalation!$B$4,0)</f>
        <v/>
      </c>
      <c r="N297">
        <f>IF(H297="Y",B297*D297*Escalation!$B$5,0)</f>
        <v/>
      </c>
      <c r="O297">
        <f>IF(I297="Y",B297*D297*Escalation!$B$6,0)</f>
        <v/>
      </c>
      <c r="P297">
        <f>IF(J297="Y",B297*D297*Escalation!$B$7,0)</f>
        <v/>
      </c>
      <c r="R297">
        <f>SUM(K297:P297)</f>
        <v/>
      </c>
    </row>
    <row r="298">
      <c r="K298">
        <f>IF(E298="Y",B298*D298*Escalation!$B$2,0)</f>
        <v/>
      </c>
      <c r="L298">
        <f>IF(F298="Y",B298*D298*Escalation!$B$3,0)</f>
        <v/>
      </c>
      <c r="M298">
        <f>IF(G298="Y",B298*D298*Escalation!$B$4,0)</f>
        <v/>
      </c>
      <c r="N298">
        <f>IF(H298="Y",B298*D298*Escalation!$B$5,0)</f>
        <v/>
      </c>
      <c r="O298">
        <f>IF(I298="Y",B298*D298*Escalation!$B$6,0)</f>
        <v/>
      </c>
      <c r="P298">
        <f>IF(J298="Y",B298*D298*Escalation!$B$7,0)</f>
        <v/>
      </c>
      <c r="R298">
        <f>SUM(K298:P298)</f>
        <v/>
      </c>
    </row>
    <row r="299">
      <c r="K299">
        <f>IF(E299="Y",B299*D299*Escalation!$B$2,0)</f>
        <v/>
      </c>
      <c r="L299">
        <f>IF(F299="Y",B299*D299*Escalation!$B$3,0)</f>
        <v/>
      </c>
      <c r="M299">
        <f>IF(G299="Y",B299*D299*Escalation!$B$4,0)</f>
        <v/>
      </c>
      <c r="N299">
        <f>IF(H299="Y",B299*D299*Escalation!$B$5,0)</f>
        <v/>
      </c>
      <c r="O299">
        <f>IF(I299="Y",B299*D299*Escalation!$B$6,0)</f>
        <v/>
      </c>
      <c r="P299">
        <f>IF(J299="Y",B299*D299*Escalation!$B$7,0)</f>
        <v/>
      </c>
      <c r="R299">
        <f>SUM(K299:P299)</f>
        <v/>
      </c>
    </row>
    <row r="300">
      <c r="K300">
        <f>IF(E300="Y",B300*D300*Escalation!$B$2,0)</f>
        <v/>
      </c>
      <c r="L300">
        <f>IF(F300="Y",B300*D300*Escalation!$B$3,0)</f>
        <v/>
      </c>
      <c r="M300">
        <f>IF(G300="Y",B300*D300*Escalation!$B$4,0)</f>
        <v/>
      </c>
      <c r="N300">
        <f>IF(H300="Y",B300*D300*Escalation!$B$5,0)</f>
        <v/>
      </c>
      <c r="O300">
        <f>IF(I300="Y",B300*D300*Escalation!$B$6,0)</f>
        <v/>
      </c>
      <c r="P300">
        <f>IF(J300="Y",B300*D300*Escalation!$B$7,0)</f>
        <v/>
      </c>
      <c r="R300">
        <f>SUM(K300:P300)</f>
        <v/>
      </c>
    </row>
    <row r="301">
      <c r="K301">
        <f>IF(E301="Y",B301*D301*Escalation!$B$2,0)</f>
        <v/>
      </c>
      <c r="L301">
        <f>IF(F301="Y",B301*D301*Escalation!$B$3,0)</f>
        <v/>
      </c>
      <c r="M301">
        <f>IF(G301="Y",B301*D301*Escalation!$B$4,0)</f>
        <v/>
      </c>
      <c r="N301">
        <f>IF(H301="Y",B301*D301*Escalation!$B$5,0)</f>
        <v/>
      </c>
      <c r="O301">
        <f>IF(I301="Y",B301*D301*Escalation!$B$6,0)</f>
        <v/>
      </c>
      <c r="P301">
        <f>IF(J301="Y",B301*D301*Escalation!$B$7,0)</f>
        <v/>
      </c>
      <c r="R301">
        <f>SUM(K301:P301)</f>
        <v/>
      </c>
    </row>
    <row r="302">
      <c r="K302">
        <f>IF(E302="Y",B302*D302*Escalation!$B$2,0)</f>
        <v/>
      </c>
      <c r="L302">
        <f>IF(F302="Y",B302*D302*Escalation!$B$3,0)</f>
        <v/>
      </c>
      <c r="M302">
        <f>IF(G302="Y",B302*D302*Escalation!$B$4,0)</f>
        <v/>
      </c>
      <c r="N302">
        <f>IF(H302="Y",B302*D302*Escalation!$B$5,0)</f>
        <v/>
      </c>
      <c r="O302">
        <f>IF(I302="Y",B302*D302*Escalation!$B$6,0)</f>
        <v/>
      </c>
      <c r="P302">
        <f>IF(J302="Y",B302*D302*Escalation!$B$7,0)</f>
        <v/>
      </c>
      <c r="R302">
        <f>SUM(K302:P302)</f>
        <v/>
      </c>
    </row>
    <row r="303">
      <c r="K303">
        <f>IF(E303="Y",B303*D303*Escalation!$B$2,0)</f>
        <v/>
      </c>
      <c r="L303">
        <f>IF(F303="Y",B303*D303*Escalation!$B$3,0)</f>
        <v/>
      </c>
      <c r="M303">
        <f>IF(G303="Y",B303*D303*Escalation!$B$4,0)</f>
        <v/>
      </c>
      <c r="N303">
        <f>IF(H303="Y",B303*D303*Escalation!$B$5,0)</f>
        <v/>
      </c>
      <c r="O303">
        <f>IF(I303="Y",B303*D303*Escalation!$B$6,0)</f>
        <v/>
      </c>
      <c r="P303">
        <f>IF(J303="Y",B303*D303*Escalation!$B$7,0)</f>
        <v/>
      </c>
      <c r="R303">
        <f>SUM(K303:P303)</f>
        <v/>
      </c>
    </row>
    <row r="304">
      <c r="K304">
        <f>IF(E304="Y",B304*D304*Escalation!$B$2,0)</f>
        <v/>
      </c>
      <c r="L304">
        <f>IF(F304="Y",B304*D304*Escalation!$B$3,0)</f>
        <v/>
      </c>
      <c r="M304">
        <f>IF(G304="Y",B304*D304*Escalation!$B$4,0)</f>
        <v/>
      </c>
      <c r="N304">
        <f>IF(H304="Y",B304*D304*Escalation!$B$5,0)</f>
        <v/>
      </c>
      <c r="O304">
        <f>IF(I304="Y",B304*D304*Escalation!$B$6,0)</f>
        <v/>
      </c>
      <c r="P304">
        <f>IF(J304="Y",B304*D304*Escalation!$B$7,0)</f>
        <v/>
      </c>
      <c r="R304">
        <f>SUM(K304:P304)</f>
        <v/>
      </c>
    </row>
    <row r="305">
      <c r="K305">
        <f>IF(E305="Y",B305*D305*Escalation!$B$2,0)</f>
        <v/>
      </c>
      <c r="L305">
        <f>IF(F305="Y",B305*D305*Escalation!$B$3,0)</f>
        <v/>
      </c>
      <c r="M305">
        <f>IF(G305="Y",B305*D305*Escalation!$B$4,0)</f>
        <v/>
      </c>
      <c r="N305">
        <f>IF(H305="Y",B305*D305*Escalation!$B$5,0)</f>
        <v/>
      </c>
      <c r="O305">
        <f>IF(I305="Y",B305*D305*Escalation!$B$6,0)</f>
        <v/>
      </c>
      <c r="P305">
        <f>IF(J305="Y",B305*D305*Escalation!$B$7,0)</f>
        <v/>
      </c>
      <c r="R305">
        <f>SUM(K305:P305)</f>
        <v/>
      </c>
    </row>
    <row r="306">
      <c r="K306">
        <f>IF(E306="Y",B306*D306*Escalation!$B$2,0)</f>
        <v/>
      </c>
      <c r="L306">
        <f>IF(F306="Y",B306*D306*Escalation!$B$3,0)</f>
        <v/>
      </c>
      <c r="M306">
        <f>IF(G306="Y",B306*D306*Escalation!$B$4,0)</f>
        <v/>
      </c>
      <c r="N306">
        <f>IF(H306="Y",B306*D306*Escalation!$B$5,0)</f>
        <v/>
      </c>
      <c r="O306">
        <f>IF(I306="Y",B306*D306*Escalation!$B$6,0)</f>
        <v/>
      </c>
      <c r="P306">
        <f>IF(J306="Y",B306*D306*Escalation!$B$7,0)</f>
        <v/>
      </c>
      <c r="R306">
        <f>SUM(K306:P306)</f>
        <v/>
      </c>
    </row>
    <row r="307">
      <c r="K307">
        <f>IF(E307="Y",B307*D307*Escalation!$B$2,0)</f>
        <v/>
      </c>
      <c r="L307">
        <f>IF(F307="Y",B307*D307*Escalation!$B$3,0)</f>
        <v/>
      </c>
      <c r="M307">
        <f>IF(G307="Y",B307*D307*Escalation!$B$4,0)</f>
        <v/>
      </c>
      <c r="N307">
        <f>IF(H307="Y",B307*D307*Escalation!$B$5,0)</f>
        <v/>
      </c>
      <c r="O307">
        <f>IF(I307="Y",B307*D307*Escalation!$B$6,0)</f>
        <v/>
      </c>
      <c r="P307">
        <f>IF(J307="Y",B307*D307*Escalation!$B$7,0)</f>
        <v/>
      </c>
      <c r="R307">
        <f>SUM(K307:P307)</f>
        <v/>
      </c>
    </row>
    <row r="308">
      <c r="K308">
        <f>IF(E308="Y",B308*D308*Escalation!$B$2,0)</f>
        <v/>
      </c>
      <c r="L308">
        <f>IF(F308="Y",B308*D308*Escalation!$B$3,0)</f>
        <v/>
      </c>
      <c r="M308">
        <f>IF(G308="Y",B308*D308*Escalation!$B$4,0)</f>
        <v/>
      </c>
      <c r="N308">
        <f>IF(H308="Y",B308*D308*Escalation!$B$5,0)</f>
        <v/>
      </c>
      <c r="O308">
        <f>IF(I308="Y",B308*D308*Escalation!$B$6,0)</f>
        <v/>
      </c>
      <c r="P308">
        <f>IF(J308="Y",B308*D308*Escalation!$B$7,0)</f>
        <v/>
      </c>
      <c r="R308">
        <f>SUM(K308:P308)</f>
        <v/>
      </c>
    </row>
    <row r="309">
      <c r="K309">
        <f>IF(E309="Y",B309*D309*Escalation!$B$2,0)</f>
        <v/>
      </c>
      <c r="L309">
        <f>IF(F309="Y",B309*D309*Escalation!$B$3,0)</f>
        <v/>
      </c>
      <c r="M309">
        <f>IF(G309="Y",B309*D309*Escalation!$B$4,0)</f>
        <v/>
      </c>
      <c r="N309">
        <f>IF(H309="Y",B309*D309*Escalation!$B$5,0)</f>
        <v/>
      </c>
      <c r="O309">
        <f>IF(I309="Y",B309*D309*Escalation!$B$6,0)</f>
        <v/>
      </c>
      <c r="P309">
        <f>IF(J309="Y",B309*D309*Escalation!$B$7,0)</f>
        <v/>
      </c>
      <c r="R309">
        <f>SUM(K309:P309)</f>
        <v/>
      </c>
    </row>
    <row r="310">
      <c r="K310">
        <f>IF(E310="Y",B310*D310*Escalation!$B$2,0)</f>
        <v/>
      </c>
      <c r="L310">
        <f>IF(F310="Y",B310*D310*Escalation!$B$3,0)</f>
        <v/>
      </c>
      <c r="M310">
        <f>IF(G310="Y",B310*D310*Escalation!$B$4,0)</f>
        <v/>
      </c>
      <c r="N310">
        <f>IF(H310="Y",B310*D310*Escalation!$B$5,0)</f>
        <v/>
      </c>
      <c r="O310">
        <f>IF(I310="Y",B310*D310*Escalation!$B$6,0)</f>
        <v/>
      </c>
      <c r="P310">
        <f>IF(J310="Y",B310*D310*Escalation!$B$7,0)</f>
        <v/>
      </c>
      <c r="R310">
        <f>SUM(K310:P310)</f>
        <v/>
      </c>
    </row>
    <row r="311">
      <c r="K311">
        <f>IF(E311="Y",B311*D311*Escalation!$B$2,0)</f>
        <v/>
      </c>
      <c r="L311">
        <f>IF(F311="Y",B311*D311*Escalation!$B$3,0)</f>
        <v/>
      </c>
      <c r="M311">
        <f>IF(G311="Y",B311*D311*Escalation!$B$4,0)</f>
        <v/>
      </c>
      <c r="N311">
        <f>IF(H311="Y",B311*D311*Escalation!$B$5,0)</f>
        <v/>
      </c>
      <c r="O311">
        <f>IF(I311="Y",B311*D311*Escalation!$B$6,0)</f>
        <v/>
      </c>
      <c r="P311">
        <f>IF(J311="Y",B311*D311*Escalation!$B$7,0)</f>
        <v/>
      </c>
      <c r="R311">
        <f>SUM(K311:P311)</f>
        <v/>
      </c>
    </row>
    <row r="312">
      <c r="K312">
        <f>IF(E312="Y",B312*D312*Escalation!$B$2,0)</f>
        <v/>
      </c>
      <c r="L312">
        <f>IF(F312="Y",B312*D312*Escalation!$B$3,0)</f>
        <v/>
      </c>
      <c r="M312">
        <f>IF(G312="Y",B312*D312*Escalation!$B$4,0)</f>
        <v/>
      </c>
      <c r="N312">
        <f>IF(H312="Y",B312*D312*Escalation!$B$5,0)</f>
        <v/>
      </c>
      <c r="O312">
        <f>IF(I312="Y",B312*D312*Escalation!$B$6,0)</f>
        <v/>
      </c>
      <c r="P312">
        <f>IF(J312="Y",B312*D312*Escalation!$B$7,0)</f>
        <v/>
      </c>
      <c r="R312">
        <f>SUM(K312:P312)</f>
        <v/>
      </c>
    </row>
    <row r="313">
      <c r="K313">
        <f>IF(E313="Y",B313*D313*Escalation!$B$2,0)</f>
        <v/>
      </c>
      <c r="L313">
        <f>IF(F313="Y",B313*D313*Escalation!$B$3,0)</f>
        <v/>
      </c>
      <c r="M313">
        <f>IF(G313="Y",B313*D313*Escalation!$B$4,0)</f>
        <v/>
      </c>
      <c r="N313">
        <f>IF(H313="Y",B313*D313*Escalation!$B$5,0)</f>
        <v/>
      </c>
      <c r="O313">
        <f>IF(I313="Y",B313*D313*Escalation!$B$6,0)</f>
        <v/>
      </c>
      <c r="P313">
        <f>IF(J313="Y",B313*D313*Escalation!$B$7,0)</f>
        <v/>
      </c>
      <c r="R313">
        <f>SUM(K313:P313)</f>
        <v/>
      </c>
    </row>
    <row r="314">
      <c r="K314">
        <f>IF(E314="Y",B314*D314*Escalation!$B$2,0)</f>
        <v/>
      </c>
      <c r="L314">
        <f>IF(F314="Y",B314*D314*Escalation!$B$3,0)</f>
        <v/>
      </c>
      <c r="M314">
        <f>IF(G314="Y",B314*D314*Escalation!$B$4,0)</f>
        <v/>
      </c>
      <c r="N314">
        <f>IF(H314="Y",B314*D314*Escalation!$B$5,0)</f>
        <v/>
      </c>
      <c r="O314">
        <f>IF(I314="Y",B314*D314*Escalation!$B$6,0)</f>
        <v/>
      </c>
      <c r="P314">
        <f>IF(J314="Y",B314*D314*Escalation!$B$7,0)</f>
        <v/>
      </c>
      <c r="R314">
        <f>SUM(K314:P314)</f>
        <v/>
      </c>
    </row>
    <row r="315">
      <c r="K315">
        <f>IF(E315="Y",B315*D315*Escalation!$B$2,0)</f>
        <v/>
      </c>
      <c r="L315">
        <f>IF(F315="Y",B315*D315*Escalation!$B$3,0)</f>
        <v/>
      </c>
      <c r="M315">
        <f>IF(G315="Y",B315*D315*Escalation!$B$4,0)</f>
        <v/>
      </c>
      <c r="N315">
        <f>IF(H315="Y",B315*D315*Escalation!$B$5,0)</f>
        <v/>
      </c>
      <c r="O315">
        <f>IF(I315="Y",B315*D315*Escalation!$B$6,0)</f>
        <v/>
      </c>
      <c r="P315">
        <f>IF(J315="Y",B315*D315*Escalation!$B$7,0)</f>
        <v/>
      </c>
      <c r="R315">
        <f>SUM(K315:P315)</f>
        <v/>
      </c>
    </row>
    <row r="316">
      <c r="K316">
        <f>IF(E316="Y",B316*D316*Escalation!$B$2,0)</f>
        <v/>
      </c>
      <c r="L316">
        <f>IF(F316="Y",B316*D316*Escalation!$B$3,0)</f>
        <v/>
      </c>
      <c r="M316">
        <f>IF(G316="Y",B316*D316*Escalation!$B$4,0)</f>
        <v/>
      </c>
      <c r="N316">
        <f>IF(H316="Y",B316*D316*Escalation!$B$5,0)</f>
        <v/>
      </c>
      <c r="O316">
        <f>IF(I316="Y",B316*D316*Escalation!$B$6,0)</f>
        <v/>
      </c>
      <c r="P316">
        <f>IF(J316="Y",B316*D316*Escalation!$B$7,0)</f>
        <v/>
      </c>
      <c r="R316">
        <f>SUM(K316:P316)</f>
        <v/>
      </c>
    </row>
    <row r="317">
      <c r="K317">
        <f>IF(E317="Y",B317*D317*Escalation!$B$2,0)</f>
        <v/>
      </c>
      <c r="L317">
        <f>IF(F317="Y",B317*D317*Escalation!$B$3,0)</f>
        <v/>
      </c>
      <c r="M317">
        <f>IF(G317="Y",B317*D317*Escalation!$B$4,0)</f>
        <v/>
      </c>
      <c r="N317">
        <f>IF(H317="Y",B317*D317*Escalation!$B$5,0)</f>
        <v/>
      </c>
      <c r="O317">
        <f>IF(I317="Y",B317*D317*Escalation!$B$6,0)</f>
        <v/>
      </c>
      <c r="P317">
        <f>IF(J317="Y",B317*D317*Escalation!$B$7,0)</f>
        <v/>
      </c>
      <c r="R317">
        <f>SUM(K317:P317)</f>
        <v/>
      </c>
    </row>
    <row r="318">
      <c r="K318">
        <f>IF(E318="Y",B318*D318*Escalation!$B$2,0)</f>
        <v/>
      </c>
      <c r="L318">
        <f>IF(F318="Y",B318*D318*Escalation!$B$3,0)</f>
        <v/>
      </c>
      <c r="M318">
        <f>IF(G318="Y",B318*D318*Escalation!$B$4,0)</f>
        <v/>
      </c>
      <c r="N318">
        <f>IF(H318="Y",B318*D318*Escalation!$B$5,0)</f>
        <v/>
      </c>
      <c r="O318">
        <f>IF(I318="Y",B318*D318*Escalation!$B$6,0)</f>
        <v/>
      </c>
      <c r="P318">
        <f>IF(J318="Y",B318*D318*Escalation!$B$7,0)</f>
        <v/>
      </c>
      <c r="R318">
        <f>SUM(K318:P318)</f>
        <v/>
      </c>
    </row>
    <row r="319">
      <c r="K319">
        <f>IF(E319="Y",B319*D319*Escalation!$B$2,0)</f>
        <v/>
      </c>
      <c r="L319">
        <f>IF(F319="Y",B319*D319*Escalation!$B$3,0)</f>
        <v/>
      </c>
      <c r="M319">
        <f>IF(G319="Y",B319*D319*Escalation!$B$4,0)</f>
        <v/>
      </c>
      <c r="N319">
        <f>IF(H319="Y",B319*D319*Escalation!$B$5,0)</f>
        <v/>
      </c>
      <c r="O319">
        <f>IF(I319="Y",B319*D319*Escalation!$B$6,0)</f>
        <v/>
      </c>
      <c r="P319">
        <f>IF(J319="Y",B319*D319*Escalation!$B$7,0)</f>
        <v/>
      </c>
      <c r="R319">
        <f>SUM(K319:P319)</f>
        <v/>
      </c>
    </row>
    <row r="320">
      <c r="K320">
        <f>IF(E320="Y",B320*D320*Escalation!$B$2,0)</f>
        <v/>
      </c>
      <c r="L320">
        <f>IF(F320="Y",B320*D320*Escalation!$B$3,0)</f>
        <v/>
      </c>
      <c r="M320">
        <f>IF(G320="Y",B320*D320*Escalation!$B$4,0)</f>
        <v/>
      </c>
      <c r="N320">
        <f>IF(H320="Y",B320*D320*Escalation!$B$5,0)</f>
        <v/>
      </c>
      <c r="O320">
        <f>IF(I320="Y",B320*D320*Escalation!$B$6,0)</f>
        <v/>
      </c>
      <c r="P320">
        <f>IF(J320="Y",B320*D320*Escalation!$B$7,0)</f>
        <v/>
      </c>
      <c r="R320">
        <f>SUM(K320:P320)</f>
        <v/>
      </c>
    </row>
    <row r="321">
      <c r="K321">
        <f>IF(E321="Y",B321*D321*Escalation!$B$2,0)</f>
        <v/>
      </c>
      <c r="L321">
        <f>IF(F321="Y",B321*D321*Escalation!$B$3,0)</f>
        <v/>
      </c>
      <c r="M321">
        <f>IF(G321="Y",B321*D321*Escalation!$B$4,0)</f>
        <v/>
      </c>
      <c r="N321">
        <f>IF(H321="Y",B321*D321*Escalation!$B$5,0)</f>
        <v/>
      </c>
      <c r="O321">
        <f>IF(I321="Y",B321*D321*Escalation!$B$6,0)</f>
        <v/>
      </c>
      <c r="P321">
        <f>IF(J321="Y",B321*D321*Escalation!$B$7,0)</f>
        <v/>
      </c>
      <c r="R321">
        <f>SUM(K321:P321)</f>
        <v/>
      </c>
    </row>
    <row r="322">
      <c r="K322">
        <f>IF(E322="Y",B322*D322*Escalation!$B$2,0)</f>
        <v/>
      </c>
      <c r="L322">
        <f>IF(F322="Y",B322*D322*Escalation!$B$3,0)</f>
        <v/>
      </c>
      <c r="M322">
        <f>IF(G322="Y",B322*D322*Escalation!$B$4,0)</f>
        <v/>
      </c>
      <c r="N322">
        <f>IF(H322="Y",B322*D322*Escalation!$B$5,0)</f>
        <v/>
      </c>
      <c r="O322">
        <f>IF(I322="Y",B322*D322*Escalation!$B$6,0)</f>
        <v/>
      </c>
      <c r="P322">
        <f>IF(J322="Y",B322*D322*Escalation!$B$7,0)</f>
        <v/>
      </c>
      <c r="R322">
        <f>SUM(K322:P322)</f>
        <v/>
      </c>
    </row>
    <row r="323">
      <c r="K323">
        <f>IF(E323="Y",B323*D323*Escalation!$B$2,0)</f>
        <v/>
      </c>
      <c r="L323">
        <f>IF(F323="Y",B323*D323*Escalation!$B$3,0)</f>
        <v/>
      </c>
      <c r="M323">
        <f>IF(G323="Y",B323*D323*Escalation!$B$4,0)</f>
        <v/>
      </c>
      <c r="N323">
        <f>IF(H323="Y",B323*D323*Escalation!$B$5,0)</f>
        <v/>
      </c>
      <c r="O323">
        <f>IF(I323="Y",B323*D323*Escalation!$B$6,0)</f>
        <v/>
      </c>
      <c r="P323">
        <f>IF(J323="Y",B323*D323*Escalation!$B$7,0)</f>
        <v/>
      </c>
      <c r="R323">
        <f>SUM(K323:P323)</f>
        <v/>
      </c>
    </row>
    <row r="324">
      <c r="K324">
        <f>IF(E324="Y",B324*D324*Escalation!$B$2,0)</f>
        <v/>
      </c>
      <c r="L324">
        <f>IF(F324="Y",B324*D324*Escalation!$B$3,0)</f>
        <v/>
      </c>
      <c r="M324">
        <f>IF(G324="Y",B324*D324*Escalation!$B$4,0)</f>
        <v/>
      </c>
      <c r="N324">
        <f>IF(H324="Y",B324*D324*Escalation!$B$5,0)</f>
        <v/>
      </c>
      <c r="O324">
        <f>IF(I324="Y",B324*D324*Escalation!$B$6,0)</f>
        <v/>
      </c>
      <c r="P324">
        <f>IF(J324="Y",B324*D324*Escalation!$B$7,0)</f>
        <v/>
      </c>
      <c r="R324">
        <f>SUM(K324:P324)</f>
        <v/>
      </c>
    </row>
    <row r="325">
      <c r="K325">
        <f>IF(E325="Y",B325*D325*Escalation!$B$2,0)</f>
        <v/>
      </c>
      <c r="L325">
        <f>IF(F325="Y",B325*D325*Escalation!$B$3,0)</f>
        <v/>
      </c>
      <c r="M325">
        <f>IF(G325="Y",B325*D325*Escalation!$B$4,0)</f>
        <v/>
      </c>
      <c r="N325">
        <f>IF(H325="Y",B325*D325*Escalation!$B$5,0)</f>
        <v/>
      </c>
      <c r="O325">
        <f>IF(I325="Y",B325*D325*Escalation!$B$6,0)</f>
        <v/>
      </c>
      <c r="P325">
        <f>IF(J325="Y",B325*D325*Escalation!$B$7,0)</f>
        <v/>
      </c>
      <c r="R325">
        <f>SUM(K325:P325)</f>
        <v/>
      </c>
    </row>
    <row r="326">
      <c r="K326">
        <f>IF(E326="Y",B326*D326*Escalation!$B$2,0)</f>
        <v/>
      </c>
      <c r="L326">
        <f>IF(F326="Y",B326*D326*Escalation!$B$3,0)</f>
        <v/>
      </c>
      <c r="M326">
        <f>IF(G326="Y",B326*D326*Escalation!$B$4,0)</f>
        <v/>
      </c>
      <c r="N326">
        <f>IF(H326="Y",B326*D326*Escalation!$B$5,0)</f>
        <v/>
      </c>
      <c r="O326">
        <f>IF(I326="Y",B326*D326*Escalation!$B$6,0)</f>
        <v/>
      </c>
      <c r="P326">
        <f>IF(J326="Y",B326*D326*Escalation!$B$7,0)</f>
        <v/>
      </c>
      <c r="R326">
        <f>SUM(K326:P326)</f>
        <v/>
      </c>
    </row>
    <row r="327">
      <c r="K327">
        <f>IF(E327="Y",B327*D327*Escalation!$B$2,0)</f>
        <v/>
      </c>
      <c r="L327">
        <f>IF(F327="Y",B327*D327*Escalation!$B$3,0)</f>
        <v/>
      </c>
      <c r="M327">
        <f>IF(G327="Y",B327*D327*Escalation!$B$4,0)</f>
        <v/>
      </c>
      <c r="N327">
        <f>IF(H327="Y",B327*D327*Escalation!$B$5,0)</f>
        <v/>
      </c>
      <c r="O327">
        <f>IF(I327="Y",B327*D327*Escalation!$B$6,0)</f>
        <v/>
      </c>
      <c r="P327">
        <f>IF(J327="Y",B327*D327*Escalation!$B$7,0)</f>
        <v/>
      </c>
      <c r="R327">
        <f>SUM(K327:P327)</f>
        <v/>
      </c>
    </row>
    <row r="328">
      <c r="K328">
        <f>IF(E328="Y",B328*D328*Escalation!$B$2,0)</f>
        <v/>
      </c>
      <c r="L328">
        <f>IF(F328="Y",B328*D328*Escalation!$B$3,0)</f>
        <v/>
      </c>
      <c r="M328">
        <f>IF(G328="Y",B328*D328*Escalation!$B$4,0)</f>
        <v/>
      </c>
      <c r="N328">
        <f>IF(H328="Y",B328*D328*Escalation!$B$5,0)</f>
        <v/>
      </c>
      <c r="O328">
        <f>IF(I328="Y",B328*D328*Escalation!$B$6,0)</f>
        <v/>
      </c>
      <c r="P328">
        <f>IF(J328="Y",B328*D328*Escalation!$B$7,0)</f>
        <v/>
      </c>
      <c r="R328">
        <f>SUM(K328:P328)</f>
        <v/>
      </c>
    </row>
    <row r="329">
      <c r="K329">
        <f>IF(E329="Y",B329*D329*Escalation!$B$2,0)</f>
        <v/>
      </c>
      <c r="L329">
        <f>IF(F329="Y",B329*D329*Escalation!$B$3,0)</f>
        <v/>
      </c>
      <c r="M329">
        <f>IF(G329="Y",B329*D329*Escalation!$B$4,0)</f>
        <v/>
      </c>
      <c r="N329">
        <f>IF(H329="Y",B329*D329*Escalation!$B$5,0)</f>
        <v/>
      </c>
      <c r="O329">
        <f>IF(I329="Y",B329*D329*Escalation!$B$6,0)</f>
        <v/>
      </c>
      <c r="P329">
        <f>IF(J329="Y",B329*D329*Escalation!$B$7,0)</f>
        <v/>
      </c>
      <c r="R329">
        <f>SUM(K329:P329)</f>
        <v/>
      </c>
    </row>
    <row r="330">
      <c r="K330">
        <f>IF(E330="Y",B330*D330*Escalation!$B$2,0)</f>
        <v/>
      </c>
      <c r="L330">
        <f>IF(F330="Y",B330*D330*Escalation!$B$3,0)</f>
        <v/>
      </c>
      <c r="M330">
        <f>IF(G330="Y",B330*D330*Escalation!$B$4,0)</f>
        <v/>
      </c>
      <c r="N330">
        <f>IF(H330="Y",B330*D330*Escalation!$B$5,0)</f>
        <v/>
      </c>
      <c r="O330">
        <f>IF(I330="Y",B330*D330*Escalation!$B$6,0)</f>
        <v/>
      </c>
      <c r="P330">
        <f>IF(J330="Y",B330*D330*Escalation!$B$7,0)</f>
        <v/>
      </c>
      <c r="R330">
        <f>SUM(K330:P330)</f>
        <v/>
      </c>
    </row>
    <row r="331">
      <c r="K331">
        <f>IF(E331="Y",B331*D331*Escalation!$B$2,0)</f>
        <v/>
      </c>
      <c r="L331">
        <f>IF(F331="Y",B331*D331*Escalation!$B$3,0)</f>
        <v/>
      </c>
      <c r="M331">
        <f>IF(G331="Y",B331*D331*Escalation!$B$4,0)</f>
        <v/>
      </c>
      <c r="N331">
        <f>IF(H331="Y",B331*D331*Escalation!$B$5,0)</f>
        <v/>
      </c>
      <c r="O331">
        <f>IF(I331="Y",B331*D331*Escalation!$B$6,0)</f>
        <v/>
      </c>
      <c r="P331">
        <f>IF(J331="Y",B331*D331*Escalation!$B$7,0)</f>
        <v/>
      </c>
      <c r="R331">
        <f>SUM(K331:P331)</f>
        <v/>
      </c>
    </row>
    <row r="332">
      <c r="K332">
        <f>IF(E332="Y",B332*D332*Escalation!$B$2,0)</f>
        <v/>
      </c>
      <c r="L332">
        <f>IF(F332="Y",B332*D332*Escalation!$B$3,0)</f>
        <v/>
      </c>
      <c r="M332">
        <f>IF(G332="Y",B332*D332*Escalation!$B$4,0)</f>
        <v/>
      </c>
      <c r="N332">
        <f>IF(H332="Y",B332*D332*Escalation!$B$5,0)</f>
        <v/>
      </c>
      <c r="O332">
        <f>IF(I332="Y",B332*D332*Escalation!$B$6,0)</f>
        <v/>
      </c>
      <c r="P332">
        <f>IF(J332="Y",B332*D332*Escalation!$B$7,0)</f>
        <v/>
      </c>
      <c r="R332">
        <f>SUM(K332:P332)</f>
        <v/>
      </c>
    </row>
    <row r="333">
      <c r="K333">
        <f>IF(E333="Y",B333*D333*Escalation!$B$2,0)</f>
        <v/>
      </c>
      <c r="L333">
        <f>IF(F333="Y",B333*D333*Escalation!$B$3,0)</f>
        <v/>
      </c>
      <c r="M333">
        <f>IF(G333="Y",B333*D333*Escalation!$B$4,0)</f>
        <v/>
      </c>
      <c r="N333">
        <f>IF(H333="Y",B333*D333*Escalation!$B$5,0)</f>
        <v/>
      </c>
      <c r="O333">
        <f>IF(I333="Y",B333*D333*Escalation!$B$6,0)</f>
        <v/>
      </c>
      <c r="P333">
        <f>IF(J333="Y",B333*D333*Escalation!$B$7,0)</f>
        <v/>
      </c>
      <c r="R333">
        <f>SUM(K333:P333)</f>
        <v/>
      </c>
    </row>
    <row r="334">
      <c r="K334">
        <f>IF(E334="Y",B334*D334*Escalation!$B$2,0)</f>
        <v/>
      </c>
      <c r="L334">
        <f>IF(F334="Y",B334*D334*Escalation!$B$3,0)</f>
        <v/>
      </c>
      <c r="M334">
        <f>IF(G334="Y",B334*D334*Escalation!$B$4,0)</f>
        <v/>
      </c>
      <c r="N334">
        <f>IF(H334="Y",B334*D334*Escalation!$B$5,0)</f>
        <v/>
      </c>
      <c r="O334">
        <f>IF(I334="Y",B334*D334*Escalation!$B$6,0)</f>
        <v/>
      </c>
      <c r="P334">
        <f>IF(J334="Y",B334*D334*Escalation!$B$7,0)</f>
        <v/>
      </c>
      <c r="R334">
        <f>SUM(K334:P334)</f>
        <v/>
      </c>
    </row>
    <row r="335">
      <c r="K335">
        <f>IF(E335="Y",B335*D335*Escalation!$B$2,0)</f>
        <v/>
      </c>
      <c r="L335">
        <f>IF(F335="Y",B335*D335*Escalation!$B$3,0)</f>
        <v/>
      </c>
      <c r="M335">
        <f>IF(G335="Y",B335*D335*Escalation!$B$4,0)</f>
        <v/>
      </c>
      <c r="N335">
        <f>IF(H335="Y",B335*D335*Escalation!$B$5,0)</f>
        <v/>
      </c>
      <c r="O335">
        <f>IF(I335="Y",B335*D335*Escalation!$B$6,0)</f>
        <v/>
      </c>
      <c r="P335">
        <f>IF(J335="Y",B335*D335*Escalation!$B$7,0)</f>
        <v/>
      </c>
      <c r="R335">
        <f>SUM(K335:P335)</f>
        <v/>
      </c>
    </row>
    <row r="336">
      <c r="K336">
        <f>IF(E336="Y",B336*D336*Escalation!$B$2,0)</f>
        <v/>
      </c>
      <c r="L336">
        <f>IF(F336="Y",B336*D336*Escalation!$B$3,0)</f>
        <v/>
      </c>
      <c r="M336">
        <f>IF(G336="Y",B336*D336*Escalation!$B$4,0)</f>
        <v/>
      </c>
      <c r="N336">
        <f>IF(H336="Y",B336*D336*Escalation!$B$5,0)</f>
        <v/>
      </c>
      <c r="O336">
        <f>IF(I336="Y",B336*D336*Escalation!$B$6,0)</f>
        <v/>
      </c>
      <c r="P336">
        <f>IF(J336="Y",B336*D336*Escalation!$B$7,0)</f>
        <v/>
      </c>
      <c r="R336">
        <f>SUM(K336:P336)</f>
        <v/>
      </c>
    </row>
    <row r="337">
      <c r="K337">
        <f>IF(E337="Y",B337*D337*Escalation!$B$2,0)</f>
        <v/>
      </c>
      <c r="L337">
        <f>IF(F337="Y",B337*D337*Escalation!$B$3,0)</f>
        <v/>
      </c>
      <c r="M337">
        <f>IF(G337="Y",B337*D337*Escalation!$B$4,0)</f>
        <v/>
      </c>
      <c r="N337">
        <f>IF(H337="Y",B337*D337*Escalation!$B$5,0)</f>
        <v/>
      </c>
      <c r="O337">
        <f>IF(I337="Y",B337*D337*Escalation!$B$6,0)</f>
        <v/>
      </c>
      <c r="P337">
        <f>IF(J337="Y",B337*D337*Escalation!$B$7,0)</f>
        <v/>
      </c>
      <c r="R337">
        <f>SUM(K337:P337)</f>
        <v/>
      </c>
    </row>
    <row r="338">
      <c r="K338">
        <f>IF(E338="Y",B338*D338*Escalation!$B$2,0)</f>
        <v/>
      </c>
      <c r="L338">
        <f>IF(F338="Y",B338*D338*Escalation!$B$3,0)</f>
        <v/>
      </c>
      <c r="M338">
        <f>IF(G338="Y",B338*D338*Escalation!$B$4,0)</f>
        <v/>
      </c>
      <c r="N338">
        <f>IF(H338="Y",B338*D338*Escalation!$B$5,0)</f>
        <v/>
      </c>
      <c r="O338">
        <f>IF(I338="Y",B338*D338*Escalation!$B$6,0)</f>
        <v/>
      </c>
      <c r="P338">
        <f>IF(J338="Y",B338*D338*Escalation!$B$7,0)</f>
        <v/>
      </c>
      <c r="R338">
        <f>SUM(K338:P338)</f>
        <v/>
      </c>
    </row>
    <row r="339">
      <c r="K339">
        <f>IF(E339="Y",B339*D339*Escalation!$B$2,0)</f>
        <v/>
      </c>
      <c r="L339">
        <f>IF(F339="Y",B339*D339*Escalation!$B$3,0)</f>
        <v/>
      </c>
      <c r="M339">
        <f>IF(G339="Y",B339*D339*Escalation!$B$4,0)</f>
        <v/>
      </c>
      <c r="N339">
        <f>IF(H339="Y",B339*D339*Escalation!$B$5,0)</f>
        <v/>
      </c>
      <c r="O339">
        <f>IF(I339="Y",B339*D339*Escalation!$B$6,0)</f>
        <v/>
      </c>
      <c r="P339">
        <f>IF(J339="Y",B339*D339*Escalation!$B$7,0)</f>
        <v/>
      </c>
      <c r="R339">
        <f>SUM(K339:P339)</f>
        <v/>
      </c>
    </row>
    <row r="340">
      <c r="K340">
        <f>IF(E340="Y",B340*D340*Escalation!$B$2,0)</f>
        <v/>
      </c>
      <c r="L340">
        <f>IF(F340="Y",B340*D340*Escalation!$B$3,0)</f>
        <v/>
      </c>
      <c r="M340">
        <f>IF(G340="Y",B340*D340*Escalation!$B$4,0)</f>
        <v/>
      </c>
      <c r="N340">
        <f>IF(H340="Y",B340*D340*Escalation!$B$5,0)</f>
        <v/>
      </c>
      <c r="O340">
        <f>IF(I340="Y",B340*D340*Escalation!$B$6,0)</f>
        <v/>
      </c>
      <c r="P340">
        <f>IF(J340="Y",B340*D340*Escalation!$B$7,0)</f>
        <v/>
      </c>
      <c r="R340">
        <f>SUM(K340:P340)</f>
        <v/>
      </c>
    </row>
    <row r="341">
      <c r="K341">
        <f>IF(E341="Y",B341*D341*Escalation!$B$2,0)</f>
        <v/>
      </c>
      <c r="L341">
        <f>IF(F341="Y",B341*D341*Escalation!$B$3,0)</f>
        <v/>
      </c>
      <c r="M341">
        <f>IF(G341="Y",B341*D341*Escalation!$B$4,0)</f>
        <v/>
      </c>
      <c r="N341">
        <f>IF(H341="Y",B341*D341*Escalation!$B$5,0)</f>
        <v/>
      </c>
      <c r="O341">
        <f>IF(I341="Y",B341*D341*Escalation!$B$6,0)</f>
        <v/>
      </c>
      <c r="P341">
        <f>IF(J341="Y",B341*D341*Escalation!$B$7,0)</f>
        <v/>
      </c>
      <c r="R341">
        <f>SUM(K341:P341)</f>
        <v/>
      </c>
    </row>
    <row r="342">
      <c r="K342">
        <f>IF(E342="Y",B342*D342*Escalation!$B$2,0)</f>
        <v/>
      </c>
      <c r="L342">
        <f>IF(F342="Y",B342*D342*Escalation!$B$3,0)</f>
        <v/>
      </c>
      <c r="M342">
        <f>IF(G342="Y",B342*D342*Escalation!$B$4,0)</f>
        <v/>
      </c>
      <c r="N342">
        <f>IF(H342="Y",B342*D342*Escalation!$B$5,0)</f>
        <v/>
      </c>
      <c r="O342">
        <f>IF(I342="Y",B342*D342*Escalation!$B$6,0)</f>
        <v/>
      </c>
      <c r="P342">
        <f>IF(J342="Y",B342*D342*Escalation!$B$7,0)</f>
        <v/>
      </c>
      <c r="R342">
        <f>SUM(K342:P342)</f>
        <v/>
      </c>
    </row>
    <row r="343">
      <c r="K343">
        <f>IF(E343="Y",B343*D343*Escalation!$B$2,0)</f>
        <v/>
      </c>
      <c r="L343">
        <f>IF(F343="Y",B343*D343*Escalation!$B$3,0)</f>
        <v/>
      </c>
      <c r="M343">
        <f>IF(G343="Y",B343*D343*Escalation!$B$4,0)</f>
        <v/>
      </c>
      <c r="N343">
        <f>IF(H343="Y",B343*D343*Escalation!$B$5,0)</f>
        <v/>
      </c>
      <c r="O343">
        <f>IF(I343="Y",B343*D343*Escalation!$B$6,0)</f>
        <v/>
      </c>
      <c r="P343">
        <f>IF(J343="Y",B343*D343*Escalation!$B$7,0)</f>
        <v/>
      </c>
      <c r="R343">
        <f>SUM(K343:P343)</f>
        <v/>
      </c>
    </row>
    <row r="344">
      <c r="K344">
        <f>IF(E344="Y",B344*D344*Escalation!$B$2,0)</f>
        <v/>
      </c>
      <c r="L344">
        <f>IF(F344="Y",B344*D344*Escalation!$B$3,0)</f>
        <v/>
      </c>
      <c r="M344">
        <f>IF(G344="Y",B344*D344*Escalation!$B$4,0)</f>
        <v/>
      </c>
      <c r="N344">
        <f>IF(H344="Y",B344*D344*Escalation!$B$5,0)</f>
        <v/>
      </c>
      <c r="O344">
        <f>IF(I344="Y",B344*D344*Escalation!$B$6,0)</f>
        <v/>
      </c>
      <c r="P344">
        <f>IF(J344="Y",B344*D344*Escalation!$B$7,0)</f>
        <v/>
      </c>
      <c r="R344">
        <f>SUM(K344:P344)</f>
        <v/>
      </c>
    </row>
    <row r="345">
      <c r="K345">
        <f>IF(E345="Y",B345*D345*Escalation!$B$2,0)</f>
        <v/>
      </c>
      <c r="L345">
        <f>IF(F345="Y",B345*D345*Escalation!$B$3,0)</f>
        <v/>
      </c>
      <c r="M345">
        <f>IF(G345="Y",B345*D345*Escalation!$B$4,0)</f>
        <v/>
      </c>
      <c r="N345">
        <f>IF(H345="Y",B345*D345*Escalation!$B$5,0)</f>
        <v/>
      </c>
      <c r="O345">
        <f>IF(I345="Y",B345*D345*Escalation!$B$6,0)</f>
        <v/>
      </c>
      <c r="P345">
        <f>IF(J345="Y",B345*D345*Escalation!$B$7,0)</f>
        <v/>
      </c>
      <c r="R345">
        <f>SUM(K345:P345)</f>
        <v/>
      </c>
    </row>
    <row r="346">
      <c r="K346">
        <f>IF(E346="Y",B346*D346*Escalation!$B$2,0)</f>
        <v/>
      </c>
      <c r="L346">
        <f>IF(F346="Y",B346*D346*Escalation!$B$3,0)</f>
        <v/>
      </c>
      <c r="M346">
        <f>IF(G346="Y",B346*D346*Escalation!$B$4,0)</f>
        <v/>
      </c>
      <c r="N346">
        <f>IF(H346="Y",B346*D346*Escalation!$B$5,0)</f>
        <v/>
      </c>
      <c r="O346">
        <f>IF(I346="Y",B346*D346*Escalation!$B$6,0)</f>
        <v/>
      </c>
      <c r="P346">
        <f>IF(J346="Y",B346*D346*Escalation!$B$7,0)</f>
        <v/>
      </c>
      <c r="R346">
        <f>SUM(K346:P346)</f>
        <v/>
      </c>
    </row>
    <row r="347">
      <c r="K347">
        <f>IF(E347="Y",B347*D347*Escalation!$B$2,0)</f>
        <v/>
      </c>
      <c r="L347">
        <f>IF(F347="Y",B347*D347*Escalation!$B$3,0)</f>
        <v/>
      </c>
      <c r="M347">
        <f>IF(G347="Y",B347*D347*Escalation!$B$4,0)</f>
        <v/>
      </c>
      <c r="N347">
        <f>IF(H347="Y",B347*D347*Escalation!$B$5,0)</f>
        <v/>
      </c>
      <c r="O347">
        <f>IF(I347="Y",B347*D347*Escalation!$B$6,0)</f>
        <v/>
      </c>
      <c r="P347">
        <f>IF(J347="Y",B347*D347*Escalation!$B$7,0)</f>
        <v/>
      </c>
      <c r="R347">
        <f>SUM(K347:P347)</f>
        <v/>
      </c>
    </row>
    <row r="348">
      <c r="K348">
        <f>IF(E348="Y",B348*D348*Escalation!$B$2,0)</f>
        <v/>
      </c>
      <c r="L348">
        <f>IF(F348="Y",B348*D348*Escalation!$B$3,0)</f>
        <v/>
      </c>
      <c r="M348">
        <f>IF(G348="Y",B348*D348*Escalation!$B$4,0)</f>
        <v/>
      </c>
      <c r="N348">
        <f>IF(H348="Y",B348*D348*Escalation!$B$5,0)</f>
        <v/>
      </c>
      <c r="O348">
        <f>IF(I348="Y",B348*D348*Escalation!$B$6,0)</f>
        <v/>
      </c>
      <c r="P348">
        <f>IF(J348="Y",B348*D348*Escalation!$B$7,0)</f>
        <v/>
      </c>
      <c r="R348">
        <f>SUM(K348:P348)</f>
        <v/>
      </c>
    </row>
    <row r="349">
      <c r="K349">
        <f>IF(E349="Y",B349*D349*Escalation!$B$2,0)</f>
        <v/>
      </c>
      <c r="L349">
        <f>IF(F349="Y",B349*D349*Escalation!$B$3,0)</f>
        <v/>
      </c>
      <c r="M349">
        <f>IF(G349="Y",B349*D349*Escalation!$B$4,0)</f>
        <v/>
      </c>
      <c r="N349">
        <f>IF(H349="Y",B349*D349*Escalation!$B$5,0)</f>
        <v/>
      </c>
      <c r="O349">
        <f>IF(I349="Y",B349*D349*Escalation!$B$6,0)</f>
        <v/>
      </c>
      <c r="P349">
        <f>IF(J349="Y",B349*D349*Escalation!$B$7,0)</f>
        <v/>
      </c>
      <c r="R349">
        <f>SUM(K349:P349)</f>
        <v/>
      </c>
    </row>
    <row r="350">
      <c r="K350">
        <f>IF(E350="Y",B350*D350*Escalation!$B$2,0)</f>
        <v/>
      </c>
      <c r="L350">
        <f>IF(F350="Y",B350*D350*Escalation!$B$3,0)</f>
        <v/>
      </c>
      <c r="M350">
        <f>IF(G350="Y",B350*D350*Escalation!$B$4,0)</f>
        <v/>
      </c>
      <c r="N350">
        <f>IF(H350="Y",B350*D350*Escalation!$B$5,0)</f>
        <v/>
      </c>
      <c r="O350">
        <f>IF(I350="Y",B350*D350*Escalation!$B$6,0)</f>
        <v/>
      </c>
      <c r="P350">
        <f>IF(J350="Y",B350*D350*Escalation!$B$7,0)</f>
        <v/>
      </c>
      <c r="R350">
        <f>SUM(K350:P350)</f>
        <v/>
      </c>
    </row>
    <row r="351">
      <c r="K351">
        <f>IF(E351="Y",B351*D351*Escalation!$B$2,0)</f>
        <v/>
      </c>
      <c r="L351">
        <f>IF(F351="Y",B351*D351*Escalation!$B$3,0)</f>
        <v/>
      </c>
      <c r="M351">
        <f>IF(G351="Y",B351*D351*Escalation!$B$4,0)</f>
        <v/>
      </c>
      <c r="N351">
        <f>IF(H351="Y",B351*D351*Escalation!$B$5,0)</f>
        <v/>
      </c>
      <c r="O351">
        <f>IF(I351="Y",B351*D351*Escalation!$B$6,0)</f>
        <v/>
      </c>
      <c r="P351">
        <f>IF(J351="Y",B351*D351*Escalation!$B$7,0)</f>
        <v/>
      </c>
      <c r="R351">
        <f>SUM(K351:P351)</f>
        <v/>
      </c>
    </row>
    <row r="352">
      <c r="K352">
        <f>IF(E352="Y",B352*D352*Escalation!$B$2,0)</f>
        <v/>
      </c>
      <c r="L352">
        <f>IF(F352="Y",B352*D352*Escalation!$B$3,0)</f>
        <v/>
      </c>
      <c r="M352">
        <f>IF(G352="Y",B352*D352*Escalation!$B$4,0)</f>
        <v/>
      </c>
      <c r="N352">
        <f>IF(H352="Y",B352*D352*Escalation!$B$5,0)</f>
        <v/>
      </c>
      <c r="O352">
        <f>IF(I352="Y",B352*D352*Escalation!$B$6,0)</f>
        <v/>
      </c>
      <c r="P352">
        <f>IF(J352="Y",B352*D352*Escalation!$B$7,0)</f>
        <v/>
      </c>
      <c r="R352">
        <f>SUM(K352:P352)</f>
        <v/>
      </c>
    </row>
    <row r="353">
      <c r="K353">
        <f>IF(E353="Y",B353*D353*Escalation!$B$2,0)</f>
        <v/>
      </c>
      <c r="L353">
        <f>IF(F353="Y",B353*D353*Escalation!$B$3,0)</f>
        <v/>
      </c>
      <c r="M353">
        <f>IF(G353="Y",B353*D353*Escalation!$B$4,0)</f>
        <v/>
      </c>
      <c r="N353">
        <f>IF(H353="Y",B353*D353*Escalation!$B$5,0)</f>
        <v/>
      </c>
      <c r="O353">
        <f>IF(I353="Y",B353*D353*Escalation!$B$6,0)</f>
        <v/>
      </c>
      <c r="P353">
        <f>IF(J353="Y",B353*D353*Escalation!$B$7,0)</f>
        <v/>
      </c>
      <c r="R353">
        <f>SUM(K353:P353)</f>
        <v/>
      </c>
    </row>
    <row r="354">
      <c r="K354">
        <f>IF(E354="Y",B354*D354*Escalation!$B$2,0)</f>
        <v/>
      </c>
      <c r="L354">
        <f>IF(F354="Y",B354*D354*Escalation!$B$3,0)</f>
        <v/>
      </c>
      <c r="M354">
        <f>IF(G354="Y",B354*D354*Escalation!$B$4,0)</f>
        <v/>
      </c>
      <c r="N354">
        <f>IF(H354="Y",B354*D354*Escalation!$B$5,0)</f>
        <v/>
      </c>
      <c r="O354">
        <f>IF(I354="Y",B354*D354*Escalation!$B$6,0)</f>
        <v/>
      </c>
      <c r="P354">
        <f>IF(J354="Y",B354*D354*Escalation!$B$7,0)</f>
        <v/>
      </c>
      <c r="R354">
        <f>SUM(K354:P354)</f>
        <v/>
      </c>
    </row>
    <row r="355">
      <c r="K355">
        <f>IF(E355="Y",B355*D355*Escalation!$B$2,0)</f>
        <v/>
      </c>
      <c r="L355">
        <f>IF(F355="Y",B355*D355*Escalation!$B$3,0)</f>
        <v/>
      </c>
      <c r="M355">
        <f>IF(G355="Y",B355*D355*Escalation!$B$4,0)</f>
        <v/>
      </c>
      <c r="N355">
        <f>IF(H355="Y",B355*D355*Escalation!$B$5,0)</f>
        <v/>
      </c>
      <c r="O355">
        <f>IF(I355="Y",B355*D355*Escalation!$B$6,0)</f>
        <v/>
      </c>
      <c r="P355">
        <f>IF(J355="Y",B355*D355*Escalation!$B$7,0)</f>
        <v/>
      </c>
      <c r="R355">
        <f>SUM(K355:P355)</f>
        <v/>
      </c>
    </row>
    <row r="356">
      <c r="K356">
        <f>IF(E356="Y",B356*D356*Escalation!$B$2,0)</f>
        <v/>
      </c>
      <c r="L356">
        <f>IF(F356="Y",B356*D356*Escalation!$B$3,0)</f>
        <v/>
      </c>
      <c r="M356">
        <f>IF(G356="Y",B356*D356*Escalation!$B$4,0)</f>
        <v/>
      </c>
      <c r="N356">
        <f>IF(H356="Y",B356*D356*Escalation!$B$5,0)</f>
        <v/>
      </c>
      <c r="O356">
        <f>IF(I356="Y",B356*D356*Escalation!$B$6,0)</f>
        <v/>
      </c>
      <c r="P356">
        <f>IF(J356="Y",B356*D356*Escalation!$B$7,0)</f>
        <v/>
      </c>
      <c r="R356">
        <f>SUM(K356:P356)</f>
        <v/>
      </c>
    </row>
    <row r="357">
      <c r="K357">
        <f>IF(E357="Y",B357*D357*Escalation!$B$2,0)</f>
        <v/>
      </c>
      <c r="L357">
        <f>IF(F357="Y",B357*D357*Escalation!$B$3,0)</f>
        <v/>
      </c>
      <c r="M357">
        <f>IF(G357="Y",B357*D357*Escalation!$B$4,0)</f>
        <v/>
      </c>
      <c r="N357">
        <f>IF(H357="Y",B357*D357*Escalation!$B$5,0)</f>
        <v/>
      </c>
      <c r="O357">
        <f>IF(I357="Y",B357*D357*Escalation!$B$6,0)</f>
        <v/>
      </c>
      <c r="P357">
        <f>IF(J357="Y",B357*D357*Escalation!$B$7,0)</f>
        <v/>
      </c>
      <c r="R357">
        <f>SUM(K357:P357)</f>
        <v/>
      </c>
    </row>
    <row r="358">
      <c r="K358">
        <f>IF(E358="Y",B358*D358*Escalation!$B$2,0)</f>
        <v/>
      </c>
      <c r="L358">
        <f>IF(F358="Y",B358*D358*Escalation!$B$3,0)</f>
        <v/>
      </c>
      <c r="M358">
        <f>IF(G358="Y",B358*D358*Escalation!$B$4,0)</f>
        <v/>
      </c>
      <c r="N358">
        <f>IF(H358="Y",B358*D358*Escalation!$B$5,0)</f>
        <v/>
      </c>
      <c r="O358">
        <f>IF(I358="Y",B358*D358*Escalation!$B$6,0)</f>
        <v/>
      </c>
      <c r="P358">
        <f>IF(J358="Y",B358*D358*Escalation!$B$7,0)</f>
        <v/>
      </c>
      <c r="R358">
        <f>SUM(K358:P358)</f>
        <v/>
      </c>
    </row>
    <row r="359">
      <c r="K359">
        <f>IF(E359="Y",B359*D359*Escalation!$B$2,0)</f>
        <v/>
      </c>
      <c r="L359">
        <f>IF(F359="Y",B359*D359*Escalation!$B$3,0)</f>
        <v/>
      </c>
      <c r="M359">
        <f>IF(G359="Y",B359*D359*Escalation!$B$4,0)</f>
        <v/>
      </c>
      <c r="N359">
        <f>IF(H359="Y",B359*D359*Escalation!$B$5,0)</f>
        <v/>
      </c>
      <c r="O359">
        <f>IF(I359="Y",B359*D359*Escalation!$B$6,0)</f>
        <v/>
      </c>
      <c r="P359">
        <f>IF(J359="Y",B359*D359*Escalation!$B$7,0)</f>
        <v/>
      </c>
      <c r="R359">
        <f>SUM(K359:P359)</f>
        <v/>
      </c>
    </row>
    <row r="360">
      <c r="K360">
        <f>IF(E360="Y",B360*D360*Escalation!$B$2,0)</f>
        <v/>
      </c>
      <c r="L360">
        <f>IF(F360="Y",B360*D360*Escalation!$B$3,0)</f>
        <v/>
      </c>
      <c r="M360">
        <f>IF(G360="Y",B360*D360*Escalation!$B$4,0)</f>
        <v/>
      </c>
      <c r="N360">
        <f>IF(H360="Y",B360*D360*Escalation!$B$5,0)</f>
        <v/>
      </c>
      <c r="O360">
        <f>IF(I360="Y",B360*D360*Escalation!$B$6,0)</f>
        <v/>
      </c>
      <c r="P360">
        <f>IF(J360="Y",B360*D360*Escalation!$B$7,0)</f>
        <v/>
      </c>
      <c r="R360">
        <f>SUM(K360:P360)</f>
        <v/>
      </c>
    </row>
    <row r="361">
      <c r="K361">
        <f>IF(E361="Y",B361*D361*Escalation!$B$2,0)</f>
        <v/>
      </c>
      <c r="L361">
        <f>IF(F361="Y",B361*D361*Escalation!$B$3,0)</f>
        <v/>
      </c>
      <c r="M361">
        <f>IF(G361="Y",B361*D361*Escalation!$B$4,0)</f>
        <v/>
      </c>
      <c r="N361">
        <f>IF(H361="Y",B361*D361*Escalation!$B$5,0)</f>
        <v/>
      </c>
      <c r="O361">
        <f>IF(I361="Y",B361*D361*Escalation!$B$6,0)</f>
        <v/>
      </c>
      <c r="P361">
        <f>IF(J361="Y",B361*D361*Escalation!$B$7,0)</f>
        <v/>
      </c>
      <c r="R361">
        <f>SUM(K361:P361)</f>
        <v/>
      </c>
    </row>
    <row r="362">
      <c r="K362">
        <f>IF(E362="Y",B362*D362*Escalation!$B$2,0)</f>
        <v/>
      </c>
      <c r="L362">
        <f>IF(F362="Y",B362*D362*Escalation!$B$3,0)</f>
        <v/>
      </c>
      <c r="M362">
        <f>IF(G362="Y",B362*D362*Escalation!$B$4,0)</f>
        <v/>
      </c>
      <c r="N362">
        <f>IF(H362="Y",B362*D362*Escalation!$B$5,0)</f>
        <v/>
      </c>
      <c r="O362">
        <f>IF(I362="Y",B362*D362*Escalation!$B$6,0)</f>
        <v/>
      </c>
      <c r="P362">
        <f>IF(J362="Y",B362*D362*Escalation!$B$7,0)</f>
        <v/>
      </c>
      <c r="R362">
        <f>SUM(K362:P362)</f>
        <v/>
      </c>
    </row>
    <row r="363">
      <c r="K363">
        <f>IF(E363="Y",B363*D363*Escalation!$B$2,0)</f>
        <v/>
      </c>
      <c r="L363">
        <f>IF(F363="Y",B363*D363*Escalation!$B$3,0)</f>
        <v/>
      </c>
      <c r="M363">
        <f>IF(G363="Y",B363*D363*Escalation!$B$4,0)</f>
        <v/>
      </c>
      <c r="N363">
        <f>IF(H363="Y",B363*D363*Escalation!$B$5,0)</f>
        <v/>
      </c>
      <c r="O363">
        <f>IF(I363="Y",B363*D363*Escalation!$B$6,0)</f>
        <v/>
      </c>
      <c r="P363">
        <f>IF(J363="Y",B363*D363*Escalation!$B$7,0)</f>
        <v/>
      </c>
      <c r="R363">
        <f>SUM(K363:P363)</f>
        <v/>
      </c>
    </row>
    <row r="364">
      <c r="K364">
        <f>IF(E364="Y",B364*D364*Escalation!$B$2,0)</f>
        <v/>
      </c>
      <c r="L364">
        <f>IF(F364="Y",B364*D364*Escalation!$B$3,0)</f>
        <v/>
      </c>
      <c r="M364">
        <f>IF(G364="Y",B364*D364*Escalation!$B$4,0)</f>
        <v/>
      </c>
      <c r="N364">
        <f>IF(H364="Y",B364*D364*Escalation!$B$5,0)</f>
        <v/>
      </c>
      <c r="O364">
        <f>IF(I364="Y",B364*D364*Escalation!$B$6,0)</f>
        <v/>
      </c>
      <c r="P364">
        <f>IF(J364="Y",B364*D364*Escalation!$B$7,0)</f>
        <v/>
      </c>
      <c r="R364">
        <f>SUM(K364:P364)</f>
        <v/>
      </c>
    </row>
    <row r="365">
      <c r="K365">
        <f>IF(E365="Y",B365*D365*Escalation!$B$2,0)</f>
        <v/>
      </c>
      <c r="L365">
        <f>IF(F365="Y",B365*D365*Escalation!$B$3,0)</f>
        <v/>
      </c>
      <c r="M365">
        <f>IF(G365="Y",B365*D365*Escalation!$B$4,0)</f>
        <v/>
      </c>
      <c r="N365">
        <f>IF(H365="Y",B365*D365*Escalation!$B$5,0)</f>
        <v/>
      </c>
      <c r="O365">
        <f>IF(I365="Y",B365*D365*Escalation!$B$6,0)</f>
        <v/>
      </c>
      <c r="P365">
        <f>IF(J365="Y",B365*D365*Escalation!$B$7,0)</f>
        <v/>
      </c>
      <c r="R365">
        <f>SUM(K365:P365)</f>
        <v/>
      </c>
    </row>
    <row r="366">
      <c r="K366">
        <f>IF(E366="Y",B366*D366*Escalation!$B$2,0)</f>
        <v/>
      </c>
      <c r="L366">
        <f>IF(F366="Y",B366*D366*Escalation!$B$3,0)</f>
        <v/>
      </c>
      <c r="M366">
        <f>IF(G366="Y",B366*D366*Escalation!$B$4,0)</f>
        <v/>
      </c>
      <c r="N366">
        <f>IF(H366="Y",B366*D366*Escalation!$B$5,0)</f>
        <v/>
      </c>
      <c r="O366">
        <f>IF(I366="Y",B366*D366*Escalation!$B$6,0)</f>
        <v/>
      </c>
      <c r="P366">
        <f>IF(J366="Y",B366*D366*Escalation!$B$7,0)</f>
        <v/>
      </c>
      <c r="R366">
        <f>SUM(K366:P366)</f>
        <v/>
      </c>
    </row>
    <row r="367">
      <c r="K367">
        <f>IF(E367="Y",B367*D367*Escalation!$B$2,0)</f>
        <v/>
      </c>
      <c r="L367">
        <f>IF(F367="Y",B367*D367*Escalation!$B$3,0)</f>
        <v/>
      </c>
      <c r="M367">
        <f>IF(G367="Y",B367*D367*Escalation!$B$4,0)</f>
        <v/>
      </c>
      <c r="N367">
        <f>IF(H367="Y",B367*D367*Escalation!$B$5,0)</f>
        <v/>
      </c>
      <c r="O367">
        <f>IF(I367="Y",B367*D367*Escalation!$B$6,0)</f>
        <v/>
      </c>
      <c r="P367">
        <f>IF(J367="Y",B367*D367*Escalation!$B$7,0)</f>
        <v/>
      </c>
      <c r="R367">
        <f>SUM(K367:P367)</f>
        <v/>
      </c>
    </row>
    <row r="368">
      <c r="K368">
        <f>IF(E368="Y",B368*D368*Escalation!$B$2,0)</f>
        <v/>
      </c>
      <c r="L368">
        <f>IF(F368="Y",B368*D368*Escalation!$B$3,0)</f>
        <v/>
      </c>
      <c r="M368">
        <f>IF(G368="Y",B368*D368*Escalation!$B$4,0)</f>
        <v/>
      </c>
      <c r="N368">
        <f>IF(H368="Y",B368*D368*Escalation!$B$5,0)</f>
        <v/>
      </c>
      <c r="O368">
        <f>IF(I368="Y",B368*D368*Escalation!$B$6,0)</f>
        <v/>
      </c>
      <c r="P368">
        <f>IF(J368="Y",B368*D368*Escalation!$B$7,0)</f>
        <v/>
      </c>
      <c r="R368">
        <f>SUM(K368:P368)</f>
        <v/>
      </c>
    </row>
    <row r="369">
      <c r="K369">
        <f>IF(E369="Y",B369*D369*Escalation!$B$2,0)</f>
        <v/>
      </c>
      <c r="L369">
        <f>IF(F369="Y",B369*D369*Escalation!$B$3,0)</f>
        <v/>
      </c>
      <c r="M369">
        <f>IF(G369="Y",B369*D369*Escalation!$B$4,0)</f>
        <v/>
      </c>
      <c r="N369">
        <f>IF(H369="Y",B369*D369*Escalation!$B$5,0)</f>
        <v/>
      </c>
      <c r="O369">
        <f>IF(I369="Y",B369*D369*Escalation!$B$6,0)</f>
        <v/>
      </c>
      <c r="P369">
        <f>IF(J369="Y",B369*D369*Escalation!$B$7,0)</f>
        <v/>
      </c>
      <c r="R369">
        <f>SUM(K369:P369)</f>
        <v/>
      </c>
    </row>
    <row r="370">
      <c r="K370">
        <f>IF(E370="Y",B370*D370*Escalation!$B$2,0)</f>
        <v/>
      </c>
      <c r="L370">
        <f>IF(F370="Y",B370*D370*Escalation!$B$3,0)</f>
        <v/>
      </c>
      <c r="M370">
        <f>IF(G370="Y",B370*D370*Escalation!$B$4,0)</f>
        <v/>
      </c>
      <c r="N370">
        <f>IF(H370="Y",B370*D370*Escalation!$B$5,0)</f>
        <v/>
      </c>
      <c r="O370">
        <f>IF(I370="Y",B370*D370*Escalation!$B$6,0)</f>
        <v/>
      </c>
      <c r="P370">
        <f>IF(J370="Y",B370*D370*Escalation!$B$7,0)</f>
        <v/>
      </c>
      <c r="R370">
        <f>SUM(K370:P370)</f>
        <v/>
      </c>
    </row>
    <row r="371">
      <c r="K371">
        <f>IF(E371="Y",B371*D371*Escalation!$B$2,0)</f>
        <v/>
      </c>
      <c r="L371">
        <f>IF(F371="Y",B371*D371*Escalation!$B$3,0)</f>
        <v/>
      </c>
      <c r="M371">
        <f>IF(G371="Y",B371*D371*Escalation!$B$4,0)</f>
        <v/>
      </c>
      <c r="N371">
        <f>IF(H371="Y",B371*D371*Escalation!$B$5,0)</f>
        <v/>
      </c>
      <c r="O371">
        <f>IF(I371="Y",B371*D371*Escalation!$B$6,0)</f>
        <v/>
      </c>
      <c r="P371">
        <f>IF(J371="Y",B371*D371*Escalation!$B$7,0)</f>
        <v/>
      </c>
      <c r="R371">
        <f>SUM(K371:P371)</f>
        <v/>
      </c>
    </row>
    <row r="372">
      <c r="K372">
        <f>IF(E372="Y",B372*D372*Escalation!$B$2,0)</f>
        <v/>
      </c>
      <c r="L372">
        <f>IF(F372="Y",B372*D372*Escalation!$B$3,0)</f>
        <v/>
      </c>
      <c r="M372">
        <f>IF(G372="Y",B372*D372*Escalation!$B$4,0)</f>
        <v/>
      </c>
      <c r="N372">
        <f>IF(H372="Y",B372*D372*Escalation!$B$5,0)</f>
        <v/>
      </c>
      <c r="O372">
        <f>IF(I372="Y",B372*D372*Escalation!$B$6,0)</f>
        <v/>
      </c>
      <c r="P372">
        <f>IF(J372="Y",B372*D372*Escalation!$B$7,0)</f>
        <v/>
      </c>
      <c r="R372">
        <f>SUM(K372:P372)</f>
        <v/>
      </c>
    </row>
    <row r="373">
      <c r="K373">
        <f>IF(E373="Y",B373*D373*Escalation!$B$2,0)</f>
        <v/>
      </c>
      <c r="L373">
        <f>IF(F373="Y",B373*D373*Escalation!$B$3,0)</f>
        <v/>
      </c>
      <c r="M373">
        <f>IF(G373="Y",B373*D373*Escalation!$B$4,0)</f>
        <v/>
      </c>
      <c r="N373">
        <f>IF(H373="Y",B373*D373*Escalation!$B$5,0)</f>
        <v/>
      </c>
      <c r="O373">
        <f>IF(I373="Y",B373*D373*Escalation!$B$6,0)</f>
        <v/>
      </c>
      <c r="P373">
        <f>IF(J373="Y",B373*D373*Escalation!$B$7,0)</f>
        <v/>
      </c>
      <c r="R373">
        <f>SUM(K373:P373)</f>
        <v/>
      </c>
    </row>
    <row r="374">
      <c r="K374">
        <f>IF(E374="Y",B374*D374*Escalation!$B$2,0)</f>
        <v/>
      </c>
      <c r="L374">
        <f>IF(F374="Y",B374*D374*Escalation!$B$3,0)</f>
        <v/>
      </c>
      <c r="M374">
        <f>IF(G374="Y",B374*D374*Escalation!$B$4,0)</f>
        <v/>
      </c>
      <c r="N374">
        <f>IF(H374="Y",B374*D374*Escalation!$B$5,0)</f>
        <v/>
      </c>
      <c r="O374">
        <f>IF(I374="Y",B374*D374*Escalation!$B$6,0)</f>
        <v/>
      </c>
      <c r="P374">
        <f>IF(J374="Y",B374*D374*Escalation!$B$7,0)</f>
        <v/>
      </c>
      <c r="R374">
        <f>SUM(K374:P374)</f>
        <v/>
      </c>
    </row>
    <row r="375">
      <c r="K375">
        <f>IF(E375="Y",B375*D375*Escalation!$B$2,0)</f>
        <v/>
      </c>
      <c r="L375">
        <f>IF(F375="Y",B375*D375*Escalation!$B$3,0)</f>
        <v/>
      </c>
      <c r="M375">
        <f>IF(G375="Y",B375*D375*Escalation!$B$4,0)</f>
        <v/>
      </c>
      <c r="N375">
        <f>IF(H375="Y",B375*D375*Escalation!$B$5,0)</f>
        <v/>
      </c>
      <c r="O375">
        <f>IF(I375="Y",B375*D375*Escalation!$B$6,0)</f>
        <v/>
      </c>
      <c r="P375">
        <f>IF(J375="Y",B375*D375*Escalation!$B$7,0)</f>
        <v/>
      </c>
      <c r="R375">
        <f>SUM(K375:P375)</f>
        <v/>
      </c>
    </row>
    <row r="376">
      <c r="K376">
        <f>IF(E376="Y",B376*D376*Escalation!$B$2,0)</f>
        <v/>
      </c>
      <c r="L376">
        <f>IF(F376="Y",B376*D376*Escalation!$B$3,0)</f>
        <v/>
      </c>
      <c r="M376">
        <f>IF(G376="Y",B376*D376*Escalation!$B$4,0)</f>
        <v/>
      </c>
      <c r="N376">
        <f>IF(H376="Y",B376*D376*Escalation!$B$5,0)</f>
        <v/>
      </c>
      <c r="O376">
        <f>IF(I376="Y",B376*D376*Escalation!$B$6,0)</f>
        <v/>
      </c>
      <c r="P376">
        <f>IF(J376="Y",B376*D376*Escalation!$B$7,0)</f>
        <v/>
      </c>
      <c r="R376">
        <f>SUM(K376:P376)</f>
        <v/>
      </c>
    </row>
    <row r="377">
      <c r="K377">
        <f>IF(E377="Y",B377*D377*Escalation!$B$2,0)</f>
        <v/>
      </c>
      <c r="L377">
        <f>IF(F377="Y",B377*D377*Escalation!$B$3,0)</f>
        <v/>
      </c>
      <c r="M377">
        <f>IF(G377="Y",B377*D377*Escalation!$B$4,0)</f>
        <v/>
      </c>
      <c r="N377">
        <f>IF(H377="Y",B377*D377*Escalation!$B$5,0)</f>
        <v/>
      </c>
      <c r="O377">
        <f>IF(I377="Y",B377*D377*Escalation!$B$6,0)</f>
        <v/>
      </c>
      <c r="P377">
        <f>IF(J377="Y",B377*D377*Escalation!$B$7,0)</f>
        <v/>
      </c>
      <c r="R377">
        <f>SUM(K377:P377)</f>
        <v/>
      </c>
    </row>
    <row r="378">
      <c r="K378">
        <f>IF(E378="Y",B378*D378*Escalation!$B$2,0)</f>
        <v/>
      </c>
      <c r="L378">
        <f>IF(F378="Y",B378*D378*Escalation!$B$3,0)</f>
        <v/>
      </c>
      <c r="M378">
        <f>IF(G378="Y",B378*D378*Escalation!$B$4,0)</f>
        <v/>
      </c>
      <c r="N378">
        <f>IF(H378="Y",B378*D378*Escalation!$B$5,0)</f>
        <v/>
      </c>
      <c r="O378">
        <f>IF(I378="Y",B378*D378*Escalation!$B$6,0)</f>
        <v/>
      </c>
      <c r="P378">
        <f>IF(J378="Y",B378*D378*Escalation!$B$7,0)</f>
        <v/>
      </c>
      <c r="R378">
        <f>SUM(K378:P378)</f>
        <v/>
      </c>
    </row>
    <row r="379">
      <c r="K379">
        <f>IF(E379="Y",B379*D379*Escalation!$B$2,0)</f>
        <v/>
      </c>
      <c r="L379">
        <f>IF(F379="Y",B379*D379*Escalation!$B$3,0)</f>
        <v/>
      </c>
      <c r="M379">
        <f>IF(G379="Y",B379*D379*Escalation!$B$4,0)</f>
        <v/>
      </c>
      <c r="N379">
        <f>IF(H379="Y",B379*D379*Escalation!$B$5,0)</f>
        <v/>
      </c>
      <c r="O379">
        <f>IF(I379="Y",B379*D379*Escalation!$B$6,0)</f>
        <v/>
      </c>
      <c r="P379">
        <f>IF(J379="Y",B379*D379*Escalation!$B$7,0)</f>
        <v/>
      </c>
      <c r="R379">
        <f>SUM(K379:P379)</f>
        <v/>
      </c>
    </row>
    <row r="380">
      <c r="K380">
        <f>IF(E380="Y",B380*D380*Escalation!$B$2,0)</f>
        <v/>
      </c>
      <c r="L380">
        <f>IF(F380="Y",B380*D380*Escalation!$B$3,0)</f>
        <v/>
      </c>
      <c r="M380">
        <f>IF(G380="Y",B380*D380*Escalation!$B$4,0)</f>
        <v/>
      </c>
      <c r="N380">
        <f>IF(H380="Y",B380*D380*Escalation!$B$5,0)</f>
        <v/>
      </c>
      <c r="O380">
        <f>IF(I380="Y",B380*D380*Escalation!$B$6,0)</f>
        <v/>
      </c>
      <c r="P380">
        <f>IF(J380="Y",B380*D380*Escalation!$B$7,0)</f>
        <v/>
      </c>
      <c r="R380">
        <f>SUM(K380:P380)</f>
        <v/>
      </c>
    </row>
    <row r="381">
      <c r="K381">
        <f>IF(E381="Y",B381*D381*Escalation!$B$2,0)</f>
        <v/>
      </c>
      <c r="L381">
        <f>IF(F381="Y",B381*D381*Escalation!$B$3,0)</f>
        <v/>
      </c>
      <c r="M381">
        <f>IF(G381="Y",B381*D381*Escalation!$B$4,0)</f>
        <v/>
      </c>
      <c r="N381">
        <f>IF(H381="Y",B381*D381*Escalation!$B$5,0)</f>
        <v/>
      </c>
      <c r="O381">
        <f>IF(I381="Y",B381*D381*Escalation!$B$6,0)</f>
        <v/>
      </c>
      <c r="P381">
        <f>IF(J381="Y",B381*D381*Escalation!$B$7,0)</f>
        <v/>
      </c>
      <c r="R381">
        <f>SUM(K381:P381)</f>
        <v/>
      </c>
    </row>
    <row r="382">
      <c r="K382">
        <f>IF(E382="Y",B382*D382*Escalation!$B$2,0)</f>
        <v/>
      </c>
      <c r="L382">
        <f>IF(F382="Y",B382*D382*Escalation!$B$3,0)</f>
        <v/>
      </c>
      <c r="M382">
        <f>IF(G382="Y",B382*D382*Escalation!$B$4,0)</f>
        <v/>
      </c>
      <c r="N382">
        <f>IF(H382="Y",B382*D382*Escalation!$B$5,0)</f>
        <v/>
      </c>
      <c r="O382">
        <f>IF(I382="Y",B382*D382*Escalation!$B$6,0)</f>
        <v/>
      </c>
      <c r="P382">
        <f>IF(J382="Y",B382*D382*Escalation!$B$7,0)</f>
        <v/>
      </c>
      <c r="R382">
        <f>SUM(K382:P382)</f>
        <v/>
      </c>
    </row>
    <row r="383">
      <c r="K383">
        <f>IF(E383="Y",B383*D383*Escalation!$B$2,0)</f>
        <v/>
      </c>
      <c r="L383">
        <f>IF(F383="Y",B383*D383*Escalation!$B$3,0)</f>
        <v/>
      </c>
      <c r="M383">
        <f>IF(G383="Y",B383*D383*Escalation!$B$4,0)</f>
        <v/>
      </c>
      <c r="N383">
        <f>IF(H383="Y",B383*D383*Escalation!$B$5,0)</f>
        <v/>
      </c>
      <c r="O383">
        <f>IF(I383="Y",B383*D383*Escalation!$B$6,0)</f>
        <v/>
      </c>
      <c r="P383">
        <f>IF(J383="Y",B383*D383*Escalation!$B$7,0)</f>
        <v/>
      </c>
      <c r="R383">
        <f>SUM(K383:P383)</f>
        <v/>
      </c>
    </row>
    <row r="384">
      <c r="K384">
        <f>IF(E384="Y",B384*D384*Escalation!$B$2,0)</f>
        <v/>
      </c>
      <c r="L384">
        <f>IF(F384="Y",B384*D384*Escalation!$B$3,0)</f>
        <v/>
      </c>
      <c r="M384">
        <f>IF(G384="Y",B384*D384*Escalation!$B$4,0)</f>
        <v/>
      </c>
      <c r="N384">
        <f>IF(H384="Y",B384*D384*Escalation!$B$5,0)</f>
        <v/>
      </c>
      <c r="O384">
        <f>IF(I384="Y",B384*D384*Escalation!$B$6,0)</f>
        <v/>
      </c>
      <c r="P384">
        <f>IF(J384="Y",B384*D384*Escalation!$B$7,0)</f>
        <v/>
      </c>
      <c r="R384">
        <f>SUM(K384:P384)</f>
        <v/>
      </c>
    </row>
    <row r="385">
      <c r="K385">
        <f>IF(E385="Y",B385*D385*Escalation!$B$2,0)</f>
        <v/>
      </c>
      <c r="L385">
        <f>IF(F385="Y",B385*D385*Escalation!$B$3,0)</f>
        <v/>
      </c>
      <c r="M385">
        <f>IF(G385="Y",B385*D385*Escalation!$B$4,0)</f>
        <v/>
      </c>
      <c r="N385">
        <f>IF(H385="Y",B385*D385*Escalation!$B$5,0)</f>
        <v/>
      </c>
      <c r="O385">
        <f>IF(I385="Y",B385*D385*Escalation!$B$6,0)</f>
        <v/>
      </c>
      <c r="P385">
        <f>IF(J385="Y",B385*D385*Escalation!$B$7,0)</f>
        <v/>
      </c>
      <c r="R385">
        <f>SUM(K385:P385)</f>
        <v/>
      </c>
    </row>
    <row r="386">
      <c r="K386">
        <f>IF(E386="Y",B386*D386*Escalation!$B$2,0)</f>
        <v/>
      </c>
      <c r="L386">
        <f>IF(F386="Y",B386*D386*Escalation!$B$3,0)</f>
        <v/>
      </c>
      <c r="M386">
        <f>IF(G386="Y",B386*D386*Escalation!$B$4,0)</f>
        <v/>
      </c>
      <c r="N386">
        <f>IF(H386="Y",B386*D386*Escalation!$B$5,0)</f>
        <v/>
      </c>
      <c r="O386">
        <f>IF(I386="Y",B386*D386*Escalation!$B$6,0)</f>
        <v/>
      </c>
      <c r="P386">
        <f>IF(J386="Y",B386*D386*Escalation!$B$7,0)</f>
        <v/>
      </c>
      <c r="R386">
        <f>SUM(K386:P386)</f>
        <v/>
      </c>
    </row>
    <row r="387">
      <c r="K387">
        <f>IF(E387="Y",B387*D387*Escalation!$B$2,0)</f>
        <v/>
      </c>
      <c r="L387">
        <f>IF(F387="Y",B387*D387*Escalation!$B$3,0)</f>
        <v/>
      </c>
      <c r="M387">
        <f>IF(G387="Y",B387*D387*Escalation!$B$4,0)</f>
        <v/>
      </c>
      <c r="N387">
        <f>IF(H387="Y",B387*D387*Escalation!$B$5,0)</f>
        <v/>
      </c>
      <c r="O387">
        <f>IF(I387="Y",B387*D387*Escalation!$B$6,0)</f>
        <v/>
      </c>
      <c r="P387">
        <f>IF(J387="Y",B387*D387*Escalation!$B$7,0)</f>
        <v/>
      </c>
      <c r="R387">
        <f>SUM(K387:P387)</f>
        <v/>
      </c>
    </row>
    <row r="388">
      <c r="K388">
        <f>IF(E388="Y",B388*D388*Escalation!$B$2,0)</f>
        <v/>
      </c>
      <c r="L388">
        <f>IF(F388="Y",B388*D388*Escalation!$B$3,0)</f>
        <v/>
      </c>
      <c r="M388">
        <f>IF(G388="Y",B388*D388*Escalation!$B$4,0)</f>
        <v/>
      </c>
      <c r="N388">
        <f>IF(H388="Y",B388*D388*Escalation!$B$5,0)</f>
        <v/>
      </c>
      <c r="O388">
        <f>IF(I388="Y",B388*D388*Escalation!$B$6,0)</f>
        <v/>
      </c>
      <c r="P388">
        <f>IF(J388="Y",B388*D388*Escalation!$B$7,0)</f>
        <v/>
      </c>
      <c r="R388">
        <f>SUM(K388:P388)</f>
        <v/>
      </c>
    </row>
    <row r="389">
      <c r="K389">
        <f>IF(E389="Y",B389*D389*Escalation!$B$2,0)</f>
        <v/>
      </c>
      <c r="L389">
        <f>IF(F389="Y",B389*D389*Escalation!$B$3,0)</f>
        <v/>
      </c>
      <c r="M389">
        <f>IF(G389="Y",B389*D389*Escalation!$B$4,0)</f>
        <v/>
      </c>
      <c r="N389">
        <f>IF(H389="Y",B389*D389*Escalation!$B$5,0)</f>
        <v/>
      </c>
      <c r="O389">
        <f>IF(I389="Y",B389*D389*Escalation!$B$6,0)</f>
        <v/>
      </c>
      <c r="P389">
        <f>IF(J389="Y",B389*D389*Escalation!$B$7,0)</f>
        <v/>
      </c>
      <c r="R389">
        <f>SUM(K389:P389)</f>
        <v/>
      </c>
    </row>
    <row r="390">
      <c r="K390">
        <f>IF(E390="Y",B390*D390*Escalation!$B$2,0)</f>
        <v/>
      </c>
      <c r="L390">
        <f>IF(F390="Y",B390*D390*Escalation!$B$3,0)</f>
        <v/>
      </c>
      <c r="M390">
        <f>IF(G390="Y",B390*D390*Escalation!$B$4,0)</f>
        <v/>
      </c>
      <c r="N390">
        <f>IF(H390="Y",B390*D390*Escalation!$B$5,0)</f>
        <v/>
      </c>
      <c r="O390">
        <f>IF(I390="Y",B390*D390*Escalation!$B$6,0)</f>
        <v/>
      </c>
      <c r="P390">
        <f>IF(J390="Y",B390*D390*Escalation!$B$7,0)</f>
        <v/>
      </c>
      <c r="R390">
        <f>SUM(K390:P390)</f>
        <v/>
      </c>
    </row>
    <row r="391">
      <c r="K391">
        <f>IF(E391="Y",B391*D391*Escalation!$B$2,0)</f>
        <v/>
      </c>
      <c r="L391">
        <f>IF(F391="Y",B391*D391*Escalation!$B$3,0)</f>
        <v/>
      </c>
      <c r="M391">
        <f>IF(G391="Y",B391*D391*Escalation!$B$4,0)</f>
        <v/>
      </c>
      <c r="N391">
        <f>IF(H391="Y",B391*D391*Escalation!$B$5,0)</f>
        <v/>
      </c>
      <c r="O391">
        <f>IF(I391="Y",B391*D391*Escalation!$B$6,0)</f>
        <v/>
      </c>
      <c r="P391">
        <f>IF(J391="Y",B391*D391*Escalation!$B$7,0)</f>
        <v/>
      </c>
      <c r="R391">
        <f>SUM(K391:P391)</f>
        <v/>
      </c>
    </row>
    <row r="392">
      <c r="K392">
        <f>IF(E392="Y",B392*D392*Escalation!$B$2,0)</f>
        <v/>
      </c>
      <c r="L392">
        <f>IF(F392="Y",B392*D392*Escalation!$B$3,0)</f>
        <v/>
      </c>
      <c r="M392">
        <f>IF(G392="Y",B392*D392*Escalation!$B$4,0)</f>
        <v/>
      </c>
      <c r="N392">
        <f>IF(H392="Y",B392*D392*Escalation!$B$5,0)</f>
        <v/>
      </c>
      <c r="O392">
        <f>IF(I392="Y",B392*D392*Escalation!$B$6,0)</f>
        <v/>
      </c>
      <c r="P392">
        <f>IF(J392="Y",B392*D392*Escalation!$B$7,0)</f>
        <v/>
      </c>
      <c r="R392">
        <f>SUM(K392:P392)</f>
        <v/>
      </c>
    </row>
    <row r="393">
      <c r="K393">
        <f>IF(E393="Y",B393*D393*Escalation!$B$2,0)</f>
        <v/>
      </c>
      <c r="L393">
        <f>IF(F393="Y",B393*D393*Escalation!$B$3,0)</f>
        <v/>
      </c>
      <c r="M393">
        <f>IF(G393="Y",B393*D393*Escalation!$B$4,0)</f>
        <v/>
      </c>
      <c r="N393">
        <f>IF(H393="Y",B393*D393*Escalation!$B$5,0)</f>
        <v/>
      </c>
      <c r="O393">
        <f>IF(I393="Y",B393*D393*Escalation!$B$6,0)</f>
        <v/>
      </c>
      <c r="P393">
        <f>IF(J393="Y",B393*D393*Escalation!$B$7,0)</f>
        <v/>
      </c>
      <c r="R393">
        <f>SUM(K393:P393)</f>
        <v/>
      </c>
    </row>
    <row r="394">
      <c r="K394">
        <f>IF(E394="Y",B394*D394*Escalation!$B$2,0)</f>
        <v/>
      </c>
      <c r="L394">
        <f>IF(F394="Y",B394*D394*Escalation!$B$3,0)</f>
        <v/>
      </c>
      <c r="M394">
        <f>IF(G394="Y",B394*D394*Escalation!$B$4,0)</f>
        <v/>
      </c>
      <c r="N394">
        <f>IF(H394="Y",B394*D394*Escalation!$B$5,0)</f>
        <v/>
      </c>
      <c r="O394">
        <f>IF(I394="Y",B394*D394*Escalation!$B$6,0)</f>
        <v/>
      </c>
      <c r="P394">
        <f>IF(J394="Y",B394*D394*Escalation!$B$7,0)</f>
        <v/>
      </c>
      <c r="R394">
        <f>SUM(K394:P394)</f>
        <v/>
      </c>
    </row>
    <row r="395">
      <c r="K395">
        <f>IF(E395="Y",B395*D395*Escalation!$B$2,0)</f>
        <v/>
      </c>
      <c r="L395">
        <f>IF(F395="Y",B395*D395*Escalation!$B$3,0)</f>
        <v/>
      </c>
      <c r="M395">
        <f>IF(G395="Y",B395*D395*Escalation!$B$4,0)</f>
        <v/>
      </c>
      <c r="N395">
        <f>IF(H395="Y",B395*D395*Escalation!$B$5,0)</f>
        <v/>
      </c>
      <c r="O395">
        <f>IF(I395="Y",B395*D395*Escalation!$B$6,0)</f>
        <v/>
      </c>
      <c r="P395">
        <f>IF(J395="Y",B395*D395*Escalation!$B$7,0)</f>
        <v/>
      </c>
      <c r="R395">
        <f>SUM(K395:P395)</f>
        <v/>
      </c>
    </row>
    <row r="396">
      <c r="K396">
        <f>IF(E396="Y",B396*D396*Escalation!$B$2,0)</f>
        <v/>
      </c>
      <c r="L396">
        <f>IF(F396="Y",B396*D396*Escalation!$B$3,0)</f>
        <v/>
      </c>
      <c r="M396">
        <f>IF(G396="Y",B396*D396*Escalation!$B$4,0)</f>
        <v/>
      </c>
      <c r="N396">
        <f>IF(H396="Y",B396*D396*Escalation!$B$5,0)</f>
        <v/>
      </c>
      <c r="O396">
        <f>IF(I396="Y",B396*D396*Escalation!$B$6,0)</f>
        <v/>
      </c>
      <c r="P396">
        <f>IF(J396="Y",B396*D396*Escalation!$B$7,0)</f>
        <v/>
      </c>
      <c r="R396">
        <f>SUM(K396:P396)</f>
        <v/>
      </c>
    </row>
    <row r="397">
      <c r="K397">
        <f>IF(E397="Y",B397*D397*Escalation!$B$2,0)</f>
        <v/>
      </c>
      <c r="L397">
        <f>IF(F397="Y",B397*D397*Escalation!$B$3,0)</f>
        <v/>
      </c>
      <c r="M397">
        <f>IF(G397="Y",B397*D397*Escalation!$B$4,0)</f>
        <v/>
      </c>
      <c r="N397">
        <f>IF(H397="Y",B397*D397*Escalation!$B$5,0)</f>
        <v/>
      </c>
      <c r="O397">
        <f>IF(I397="Y",B397*D397*Escalation!$B$6,0)</f>
        <v/>
      </c>
      <c r="P397">
        <f>IF(J397="Y",B397*D397*Escalation!$B$7,0)</f>
        <v/>
      </c>
      <c r="R397">
        <f>SUM(K397:P397)</f>
        <v/>
      </c>
    </row>
    <row r="398">
      <c r="K398">
        <f>IF(E398="Y",B398*D398*Escalation!$B$2,0)</f>
        <v/>
      </c>
      <c r="L398">
        <f>IF(F398="Y",B398*D398*Escalation!$B$3,0)</f>
        <v/>
      </c>
      <c r="M398">
        <f>IF(G398="Y",B398*D398*Escalation!$B$4,0)</f>
        <v/>
      </c>
      <c r="N398">
        <f>IF(H398="Y",B398*D398*Escalation!$B$5,0)</f>
        <v/>
      </c>
      <c r="O398">
        <f>IF(I398="Y",B398*D398*Escalation!$B$6,0)</f>
        <v/>
      </c>
      <c r="P398">
        <f>IF(J398="Y",B398*D398*Escalation!$B$7,0)</f>
        <v/>
      </c>
      <c r="R398">
        <f>SUM(K398:P398)</f>
        <v/>
      </c>
    </row>
    <row r="399">
      <c r="K399">
        <f>IF(E399="Y",B399*D399*Escalation!$B$2,0)</f>
        <v/>
      </c>
      <c r="L399">
        <f>IF(F399="Y",B399*D399*Escalation!$B$3,0)</f>
        <v/>
      </c>
      <c r="M399">
        <f>IF(G399="Y",B399*D399*Escalation!$B$4,0)</f>
        <v/>
      </c>
      <c r="N399">
        <f>IF(H399="Y",B399*D399*Escalation!$B$5,0)</f>
        <v/>
      </c>
      <c r="O399">
        <f>IF(I399="Y",B399*D399*Escalation!$B$6,0)</f>
        <v/>
      </c>
      <c r="P399">
        <f>IF(J399="Y",B399*D399*Escalation!$B$7,0)</f>
        <v/>
      </c>
      <c r="R399">
        <f>SUM(K399:P399)</f>
        <v/>
      </c>
    </row>
    <row r="400">
      <c r="K400">
        <f>IF(E400="Y",B400*D400*Escalation!$B$2,0)</f>
        <v/>
      </c>
      <c r="L400">
        <f>IF(F400="Y",B400*D400*Escalation!$B$3,0)</f>
        <v/>
      </c>
      <c r="M400">
        <f>IF(G400="Y",B400*D400*Escalation!$B$4,0)</f>
        <v/>
      </c>
      <c r="N400">
        <f>IF(H400="Y",B400*D400*Escalation!$B$5,0)</f>
        <v/>
      </c>
      <c r="O400">
        <f>IF(I400="Y",B400*D400*Escalation!$B$6,0)</f>
        <v/>
      </c>
      <c r="P400">
        <f>IF(J400="Y",B400*D400*Escalation!$B$7,0)</f>
        <v/>
      </c>
      <c r="R400">
        <f>SUM(K400:P400)</f>
        <v/>
      </c>
    </row>
    <row r="401">
      <c r="K401">
        <f>IF(E401="Y",B401*D401*Escalation!$B$2,0)</f>
        <v/>
      </c>
      <c r="L401">
        <f>IF(F401="Y",B401*D401*Escalation!$B$3,0)</f>
        <v/>
      </c>
      <c r="M401">
        <f>IF(G401="Y",B401*D401*Escalation!$B$4,0)</f>
        <v/>
      </c>
      <c r="N401">
        <f>IF(H401="Y",B401*D401*Escalation!$B$5,0)</f>
        <v/>
      </c>
      <c r="O401">
        <f>IF(I401="Y",B401*D401*Escalation!$B$6,0)</f>
        <v/>
      </c>
      <c r="P401">
        <f>IF(J401="Y",B401*D401*Escalation!$B$7,0)</f>
        <v/>
      </c>
      <c r="R401">
        <f>SUM(K401:P401)</f>
        <v/>
      </c>
    </row>
    <row r="402">
      <c r="K402">
        <f>IF(E402="Y",B402*D402*Escalation!$B$2,0)</f>
        <v/>
      </c>
      <c r="L402">
        <f>IF(F402="Y",B402*D402*Escalation!$B$3,0)</f>
        <v/>
      </c>
      <c r="M402">
        <f>IF(G402="Y",B402*D402*Escalation!$B$4,0)</f>
        <v/>
      </c>
      <c r="N402">
        <f>IF(H402="Y",B402*D402*Escalation!$B$5,0)</f>
        <v/>
      </c>
      <c r="O402">
        <f>IF(I402="Y",B402*D402*Escalation!$B$6,0)</f>
        <v/>
      </c>
      <c r="P402">
        <f>IF(J402="Y",B402*D402*Escalation!$B$7,0)</f>
        <v/>
      </c>
      <c r="R402">
        <f>SUM(K402:P402)</f>
        <v/>
      </c>
    </row>
    <row r="403">
      <c r="K403">
        <f>IF(E403="Y",B403*D403*Escalation!$B$2,0)</f>
        <v/>
      </c>
      <c r="L403">
        <f>IF(F403="Y",B403*D403*Escalation!$B$3,0)</f>
        <v/>
      </c>
      <c r="M403">
        <f>IF(G403="Y",B403*D403*Escalation!$B$4,0)</f>
        <v/>
      </c>
      <c r="N403">
        <f>IF(H403="Y",B403*D403*Escalation!$B$5,0)</f>
        <v/>
      </c>
      <c r="O403">
        <f>IF(I403="Y",B403*D403*Escalation!$B$6,0)</f>
        <v/>
      </c>
      <c r="P403">
        <f>IF(J403="Y",B403*D403*Escalation!$B$7,0)</f>
        <v/>
      </c>
      <c r="R403">
        <f>SUM(K403:P403)</f>
        <v/>
      </c>
    </row>
    <row r="404">
      <c r="K404">
        <f>IF(E404="Y",B404*D404*Escalation!$B$2,0)</f>
        <v/>
      </c>
      <c r="L404">
        <f>IF(F404="Y",B404*D404*Escalation!$B$3,0)</f>
        <v/>
      </c>
      <c r="M404">
        <f>IF(G404="Y",B404*D404*Escalation!$B$4,0)</f>
        <v/>
      </c>
      <c r="N404">
        <f>IF(H404="Y",B404*D404*Escalation!$B$5,0)</f>
        <v/>
      </c>
      <c r="O404">
        <f>IF(I404="Y",B404*D404*Escalation!$B$6,0)</f>
        <v/>
      </c>
      <c r="P404">
        <f>IF(J404="Y",B404*D404*Escalation!$B$7,0)</f>
        <v/>
      </c>
      <c r="R404">
        <f>SUM(K404:P404)</f>
        <v/>
      </c>
    </row>
    <row r="405">
      <c r="K405">
        <f>IF(E405="Y",B405*D405*Escalation!$B$2,0)</f>
        <v/>
      </c>
      <c r="L405">
        <f>IF(F405="Y",B405*D405*Escalation!$B$3,0)</f>
        <v/>
      </c>
      <c r="M405">
        <f>IF(G405="Y",B405*D405*Escalation!$B$4,0)</f>
        <v/>
      </c>
      <c r="N405">
        <f>IF(H405="Y",B405*D405*Escalation!$B$5,0)</f>
        <v/>
      </c>
      <c r="O405">
        <f>IF(I405="Y",B405*D405*Escalation!$B$6,0)</f>
        <v/>
      </c>
      <c r="P405">
        <f>IF(J405="Y",B405*D405*Escalation!$B$7,0)</f>
        <v/>
      </c>
      <c r="R405">
        <f>SUM(K405:P405)</f>
        <v/>
      </c>
    </row>
    <row r="406">
      <c r="K406">
        <f>IF(E406="Y",B406*D406*Escalation!$B$2,0)</f>
        <v/>
      </c>
      <c r="L406">
        <f>IF(F406="Y",B406*D406*Escalation!$B$3,0)</f>
        <v/>
      </c>
      <c r="M406">
        <f>IF(G406="Y",B406*D406*Escalation!$B$4,0)</f>
        <v/>
      </c>
      <c r="N406">
        <f>IF(H406="Y",B406*D406*Escalation!$B$5,0)</f>
        <v/>
      </c>
      <c r="O406">
        <f>IF(I406="Y",B406*D406*Escalation!$B$6,0)</f>
        <v/>
      </c>
      <c r="P406">
        <f>IF(J406="Y",B406*D406*Escalation!$B$7,0)</f>
        <v/>
      </c>
      <c r="R406">
        <f>SUM(K406:P406)</f>
        <v/>
      </c>
    </row>
    <row r="407">
      <c r="K407">
        <f>IF(E407="Y",B407*D407*Escalation!$B$2,0)</f>
        <v/>
      </c>
      <c r="L407">
        <f>IF(F407="Y",B407*D407*Escalation!$B$3,0)</f>
        <v/>
      </c>
      <c r="M407">
        <f>IF(G407="Y",B407*D407*Escalation!$B$4,0)</f>
        <v/>
      </c>
      <c r="N407">
        <f>IF(H407="Y",B407*D407*Escalation!$B$5,0)</f>
        <v/>
      </c>
      <c r="O407">
        <f>IF(I407="Y",B407*D407*Escalation!$B$6,0)</f>
        <v/>
      </c>
      <c r="P407">
        <f>IF(J407="Y",B407*D407*Escalation!$B$7,0)</f>
        <v/>
      </c>
      <c r="R407">
        <f>SUM(K407:P407)</f>
        <v/>
      </c>
    </row>
    <row r="408">
      <c r="K408">
        <f>IF(E408="Y",B408*D408*Escalation!$B$2,0)</f>
        <v/>
      </c>
      <c r="L408">
        <f>IF(F408="Y",B408*D408*Escalation!$B$3,0)</f>
        <v/>
      </c>
      <c r="M408">
        <f>IF(G408="Y",B408*D408*Escalation!$B$4,0)</f>
        <v/>
      </c>
      <c r="N408">
        <f>IF(H408="Y",B408*D408*Escalation!$B$5,0)</f>
        <v/>
      </c>
      <c r="O408">
        <f>IF(I408="Y",B408*D408*Escalation!$B$6,0)</f>
        <v/>
      </c>
      <c r="P408">
        <f>IF(J408="Y",B408*D408*Escalation!$B$7,0)</f>
        <v/>
      </c>
      <c r="R408">
        <f>SUM(K408:P408)</f>
        <v/>
      </c>
    </row>
    <row r="409">
      <c r="K409">
        <f>IF(E409="Y",B409*D409*Escalation!$B$2,0)</f>
        <v/>
      </c>
      <c r="L409">
        <f>IF(F409="Y",B409*D409*Escalation!$B$3,0)</f>
        <v/>
      </c>
      <c r="M409">
        <f>IF(G409="Y",B409*D409*Escalation!$B$4,0)</f>
        <v/>
      </c>
      <c r="N409">
        <f>IF(H409="Y",B409*D409*Escalation!$B$5,0)</f>
        <v/>
      </c>
      <c r="O409">
        <f>IF(I409="Y",B409*D409*Escalation!$B$6,0)</f>
        <v/>
      </c>
      <c r="P409">
        <f>IF(J409="Y",B409*D409*Escalation!$B$7,0)</f>
        <v/>
      </c>
      <c r="R409">
        <f>SUM(K409:P409)</f>
        <v/>
      </c>
    </row>
    <row r="410">
      <c r="K410">
        <f>IF(E410="Y",B410*D410*Escalation!$B$2,0)</f>
        <v/>
      </c>
      <c r="L410">
        <f>IF(F410="Y",B410*D410*Escalation!$B$3,0)</f>
        <v/>
      </c>
      <c r="M410">
        <f>IF(G410="Y",B410*D410*Escalation!$B$4,0)</f>
        <v/>
      </c>
      <c r="N410">
        <f>IF(H410="Y",B410*D410*Escalation!$B$5,0)</f>
        <v/>
      </c>
      <c r="O410">
        <f>IF(I410="Y",B410*D410*Escalation!$B$6,0)</f>
        <v/>
      </c>
      <c r="P410">
        <f>IF(J410="Y",B410*D410*Escalation!$B$7,0)</f>
        <v/>
      </c>
      <c r="R410">
        <f>SUM(K410:P410)</f>
        <v/>
      </c>
    </row>
    <row r="411">
      <c r="K411">
        <f>IF(E411="Y",B411*D411*Escalation!$B$2,0)</f>
        <v/>
      </c>
      <c r="L411">
        <f>IF(F411="Y",B411*D411*Escalation!$B$3,0)</f>
        <v/>
      </c>
      <c r="M411">
        <f>IF(G411="Y",B411*D411*Escalation!$B$4,0)</f>
        <v/>
      </c>
      <c r="N411">
        <f>IF(H411="Y",B411*D411*Escalation!$B$5,0)</f>
        <v/>
      </c>
      <c r="O411">
        <f>IF(I411="Y",B411*D411*Escalation!$B$6,0)</f>
        <v/>
      </c>
      <c r="P411">
        <f>IF(J411="Y",B411*D411*Escalation!$B$7,0)</f>
        <v/>
      </c>
      <c r="R411">
        <f>SUM(K411:P411)</f>
        <v/>
      </c>
    </row>
    <row r="412">
      <c r="K412">
        <f>IF(E412="Y",B412*D412*Escalation!$B$2,0)</f>
        <v/>
      </c>
      <c r="L412">
        <f>IF(F412="Y",B412*D412*Escalation!$B$3,0)</f>
        <v/>
      </c>
      <c r="M412">
        <f>IF(G412="Y",B412*D412*Escalation!$B$4,0)</f>
        <v/>
      </c>
      <c r="N412">
        <f>IF(H412="Y",B412*D412*Escalation!$B$5,0)</f>
        <v/>
      </c>
      <c r="O412">
        <f>IF(I412="Y",B412*D412*Escalation!$B$6,0)</f>
        <v/>
      </c>
      <c r="P412">
        <f>IF(J412="Y",B412*D412*Escalation!$B$7,0)</f>
        <v/>
      </c>
      <c r="R412">
        <f>SUM(K412:P412)</f>
        <v/>
      </c>
    </row>
    <row r="413">
      <c r="K413">
        <f>IF(E413="Y",B413*D413*Escalation!$B$2,0)</f>
        <v/>
      </c>
      <c r="L413">
        <f>IF(F413="Y",B413*D413*Escalation!$B$3,0)</f>
        <v/>
      </c>
      <c r="M413">
        <f>IF(G413="Y",B413*D413*Escalation!$B$4,0)</f>
        <v/>
      </c>
      <c r="N413">
        <f>IF(H413="Y",B413*D413*Escalation!$B$5,0)</f>
        <v/>
      </c>
      <c r="O413">
        <f>IF(I413="Y",B413*D413*Escalation!$B$6,0)</f>
        <v/>
      </c>
      <c r="P413">
        <f>IF(J413="Y",B413*D413*Escalation!$B$7,0)</f>
        <v/>
      </c>
      <c r="R413">
        <f>SUM(K413:P413)</f>
        <v/>
      </c>
    </row>
    <row r="414">
      <c r="K414">
        <f>IF(E414="Y",B414*D414*Escalation!$B$2,0)</f>
        <v/>
      </c>
      <c r="L414">
        <f>IF(F414="Y",B414*D414*Escalation!$B$3,0)</f>
        <v/>
      </c>
      <c r="M414">
        <f>IF(G414="Y",B414*D414*Escalation!$B$4,0)</f>
        <v/>
      </c>
      <c r="N414">
        <f>IF(H414="Y",B414*D414*Escalation!$B$5,0)</f>
        <v/>
      </c>
      <c r="O414">
        <f>IF(I414="Y",B414*D414*Escalation!$B$6,0)</f>
        <v/>
      </c>
      <c r="P414">
        <f>IF(J414="Y",B414*D414*Escalation!$B$7,0)</f>
        <v/>
      </c>
      <c r="R414">
        <f>SUM(K414:P414)</f>
        <v/>
      </c>
    </row>
    <row r="415">
      <c r="K415">
        <f>IF(E415="Y",B415*D415*Escalation!$B$2,0)</f>
        <v/>
      </c>
      <c r="L415">
        <f>IF(F415="Y",B415*D415*Escalation!$B$3,0)</f>
        <v/>
      </c>
      <c r="M415">
        <f>IF(G415="Y",B415*D415*Escalation!$B$4,0)</f>
        <v/>
      </c>
      <c r="N415">
        <f>IF(H415="Y",B415*D415*Escalation!$B$5,0)</f>
        <v/>
      </c>
      <c r="O415">
        <f>IF(I415="Y",B415*D415*Escalation!$B$6,0)</f>
        <v/>
      </c>
      <c r="P415">
        <f>IF(J415="Y",B415*D415*Escalation!$B$7,0)</f>
        <v/>
      </c>
      <c r="R415">
        <f>SUM(K415:P415)</f>
        <v/>
      </c>
    </row>
    <row r="416">
      <c r="K416">
        <f>IF(E416="Y",B416*D416*Escalation!$B$2,0)</f>
        <v/>
      </c>
      <c r="L416">
        <f>IF(F416="Y",B416*D416*Escalation!$B$3,0)</f>
        <v/>
      </c>
      <c r="M416">
        <f>IF(G416="Y",B416*D416*Escalation!$B$4,0)</f>
        <v/>
      </c>
      <c r="N416">
        <f>IF(H416="Y",B416*D416*Escalation!$B$5,0)</f>
        <v/>
      </c>
      <c r="O416">
        <f>IF(I416="Y",B416*D416*Escalation!$B$6,0)</f>
        <v/>
      </c>
      <c r="P416">
        <f>IF(J416="Y",B416*D416*Escalation!$B$7,0)</f>
        <v/>
      </c>
      <c r="R416">
        <f>SUM(K416:P416)</f>
        <v/>
      </c>
    </row>
    <row r="417">
      <c r="K417">
        <f>IF(E417="Y",B417*D417*Escalation!$B$2,0)</f>
        <v/>
      </c>
      <c r="L417">
        <f>IF(F417="Y",B417*D417*Escalation!$B$3,0)</f>
        <v/>
      </c>
      <c r="M417">
        <f>IF(G417="Y",B417*D417*Escalation!$B$4,0)</f>
        <v/>
      </c>
      <c r="N417">
        <f>IF(H417="Y",B417*D417*Escalation!$B$5,0)</f>
        <v/>
      </c>
      <c r="O417">
        <f>IF(I417="Y",B417*D417*Escalation!$B$6,0)</f>
        <v/>
      </c>
      <c r="P417">
        <f>IF(J417="Y",B417*D417*Escalation!$B$7,0)</f>
        <v/>
      </c>
      <c r="R417">
        <f>SUM(K417:P417)</f>
        <v/>
      </c>
    </row>
    <row r="418">
      <c r="K418">
        <f>IF(E418="Y",B418*D418*Escalation!$B$2,0)</f>
        <v/>
      </c>
      <c r="L418">
        <f>IF(F418="Y",B418*D418*Escalation!$B$3,0)</f>
        <v/>
      </c>
      <c r="M418">
        <f>IF(G418="Y",B418*D418*Escalation!$B$4,0)</f>
        <v/>
      </c>
      <c r="N418">
        <f>IF(H418="Y",B418*D418*Escalation!$B$5,0)</f>
        <v/>
      </c>
      <c r="O418">
        <f>IF(I418="Y",B418*D418*Escalation!$B$6,0)</f>
        <v/>
      </c>
      <c r="P418">
        <f>IF(J418="Y",B418*D418*Escalation!$B$7,0)</f>
        <v/>
      </c>
      <c r="R418">
        <f>SUM(K418:P418)</f>
        <v/>
      </c>
    </row>
    <row r="419">
      <c r="K419">
        <f>IF(E419="Y",B419*D419*Escalation!$B$2,0)</f>
        <v/>
      </c>
      <c r="L419">
        <f>IF(F419="Y",B419*D419*Escalation!$B$3,0)</f>
        <v/>
      </c>
      <c r="M419">
        <f>IF(G419="Y",B419*D419*Escalation!$B$4,0)</f>
        <v/>
      </c>
      <c r="N419">
        <f>IF(H419="Y",B419*D419*Escalation!$B$5,0)</f>
        <v/>
      </c>
      <c r="O419">
        <f>IF(I419="Y",B419*D419*Escalation!$B$6,0)</f>
        <v/>
      </c>
      <c r="P419">
        <f>IF(J419="Y",B419*D419*Escalation!$B$7,0)</f>
        <v/>
      </c>
      <c r="R419">
        <f>SUM(K419:P419)</f>
        <v/>
      </c>
    </row>
    <row r="420">
      <c r="K420">
        <f>IF(E420="Y",B420*D420*Escalation!$B$2,0)</f>
        <v/>
      </c>
      <c r="L420">
        <f>IF(F420="Y",B420*D420*Escalation!$B$3,0)</f>
        <v/>
      </c>
      <c r="M420">
        <f>IF(G420="Y",B420*D420*Escalation!$B$4,0)</f>
        <v/>
      </c>
      <c r="N420">
        <f>IF(H420="Y",B420*D420*Escalation!$B$5,0)</f>
        <v/>
      </c>
      <c r="O420">
        <f>IF(I420="Y",B420*D420*Escalation!$B$6,0)</f>
        <v/>
      </c>
      <c r="P420">
        <f>IF(J420="Y",B420*D420*Escalation!$B$7,0)</f>
        <v/>
      </c>
      <c r="R420">
        <f>SUM(K420:P420)</f>
        <v/>
      </c>
    </row>
    <row r="421">
      <c r="K421">
        <f>IF(E421="Y",B421*D421*Escalation!$B$2,0)</f>
        <v/>
      </c>
      <c r="L421">
        <f>IF(F421="Y",B421*D421*Escalation!$B$3,0)</f>
        <v/>
      </c>
      <c r="M421">
        <f>IF(G421="Y",B421*D421*Escalation!$B$4,0)</f>
        <v/>
      </c>
      <c r="N421">
        <f>IF(H421="Y",B421*D421*Escalation!$B$5,0)</f>
        <v/>
      </c>
      <c r="O421">
        <f>IF(I421="Y",B421*D421*Escalation!$B$6,0)</f>
        <v/>
      </c>
      <c r="P421">
        <f>IF(J421="Y",B421*D421*Escalation!$B$7,0)</f>
        <v/>
      </c>
      <c r="R421">
        <f>SUM(K421:P421)</f>
        <v/>
      </c>
    </row>
    <row r="422">
      <c r="K422">
        <f>IF(E422="Y",B422*D422*Escalation!$B$2,0)</f>
        <v/>
      </c>
      <c r="L422">
        <f>IF(F422="Y",B422*D422*Escalation!$B$3,0)</f>
        <v/>
      </c>
      <c r="M422">
        <f>IF(G422="Y",B422*D422*Escalation!$B$4,0)</f>
        <v/>
      </c>
      <c r="N422">
        <f>IF(H422="Y",B422*D422*Escalation!$B$5,0)</f>
        <v/>
      </c>
      <c r="O422">
        <f>IF(I422="Y",B422*D422*Escalation!$B$6,0)</f>
        <v/>
      </c>
      <c r="P422">
        <f>IF(J422="Y",B422*D422*Escalation!$B$7,0)</f>
        <v/>
      </c>
      <c r="R422">
        <f>SUM(K422:P422)</f>
        <v/>
      </c>
    </row>
    <row r="423">
      <c r="K423">
        <f>IF(E423="Y",B423*D423*Escalation!$B$2,0)</f>
        <v/>
      </c>
      <c r="L423">
        <f>IF(F423="Y",B423*D423*Escalation!$B$3,0)</f>
        <v/>
      </c>
      <c r="M423">
        <f>IF(G423="Y",B423*D423*Escalation!$B$4,0)</f>
        <v/>
      </c>
      <c r="N423">
        <f>IF(H423="Y",B423*D423*Escalation!$B$5,0)</f>
        <v/>
      </c>
      <c r="O423">
        <f>IF(I423="Y",B423*D423*Escalation!$B$6,0)</f>
        <v/>
      </c>
      <c r="P423">
        <f>IF(J423="Y",B423*D423*Escalation!$B$7,0)</f>
        <v/>
      </c>
      <c r="R423">
        <f>SUM(K423:P423)</f>
        <v/>
      </c>
    </row>
    <row r="424">
      <c r="K424">
        <f>IF(E424="Y",B424*D424*Escalation!$B$2,0)</f>
        <v/>
      </c>
      <c r="L424">
        <f>IF(F424="Y",B424*D424*Escalation!$B$3,0)</f>
        <v/>
      </c>
      <c r="M424">
        <f>IF(G424="Y",B424*D424*Escalation!$B$4,0)</f>
        <v/>
      </c>
      <c r="N424">
        <f>IF(H424="Y",B424*D424*Escalation!$B$5,0)</f>
        <v/>
      </c>
      <c r="O424">
        <f>IF(I424="Y",B424*D424*Escalation!$B$6,0)</f>
        <v/>
      </c>
      <c r="P424">
        <f>IF(J424="Y",B424*D424*Escalation!$B$7,0)</f>
        <v/>
      </c>
      <c r="R424">
        <f>SUM(K424:P424)</f>
        <v/>
      </c>
    </row>
    <row r="425">
      <c r="K425">
        <f>IF(E425="Y",B425*D425*Escalation!$B$2,0)</f>
        <v/>
      </c>
      <c r="L425">
        <f>IF(F425="Y",B425*D425*Escalation!$B$3,0)</f>
        <v/>
      </c>
      <c r="M425">
        <f>IF(G425="Y",B425*D425*Escalation!$B$4,0)</f>
        <v/>
      </c>
      <c r="N425">
        <f>IF(H425="Y",B425*D425*Escalation!$B$5,0)</f>
        <v/>
      </c>
      <c r="O425">
        <f>IF(I425="Y",B425*D425*Escalation!$B$6,0)</f>
        <v/>
      </c>
      <c r="P425">
        <f>IF(J425="Y",B425*D425*Escalation!$B$7,0)</f>
        <v/>
      </c>
      <c r="R425">
        <f>SUM(K425:P425)</f>
        <v/>
      </c>
    </row>
    <row r="426">
      <c r="K426">
        <f>IF(E426="Y",B426*D426*Escalation!$B$2,0)</f>
        <v/>
      </c>
      <c r="L426">
        <f>IF(F426="Y",B426*D426*Escalation!$B$3,0)</f>
        <v/>
      </c>
      <c r="M426">
        <f>IF(G426="Y",B426*D426*Escalation!$B$4,0)</f>
        <v/>
      </c>
      <c r="N426">
        <f>IF(H426="Y",B426*D426*Escalation!$B$5,0)</f>
        <v/>
      </c>
      <c r="O426">
        <f>IF(I426="Y",B426*D426*Escalation!$B$6,0)</f>
        <v/>
      </c>
      <c r="P426">
        <f>IF(J426="Y",B426*D426*Escalation!$B$7,0)</f>
        <v/>
      </c>
      <c r="R426">
        <f>SUM(K426:P426)</f>
        <v/>
      </c>
    </row>
    <row r="427">
      <c r="K427">
        <f>IF(E427="Y",B427*D427*Escalation!$B$2,0)</f>
        <v/>
      </c>
      <c r="L427">
        <f>IF(F427="Y",B427*D427*Escalation!$B$3,0)</f>
        <v/>
      </c>
      <c r="M427">
        <f>IF(G427="Y",B427*D427*Escalation!$B$4,0)</f>
        <v/>
      </c>
      <c r="N427">
        <f>IF(H427="Y",B427*D427*Escalation!$B$5,0)</f>
        <v/>
      </c>
      <c r="O427">
        <f>IF(I427="Y",B427*D427*Escalation!$B$6,0)</f>
        <v/>
      </c>
      <c r="P427">
        <f>IF(J427="Y",B427*D427*Escalation!$B$7,0)</f>
        <v/>
      </c>
      <c r="R427">
        <f>SUM(K427:P427)</f>
        <v/>
      </c>
    </row>
    <row r="428">
      <c r="K428">
        <f>IF(E428="Y",B428*D428*Escalation!$B$2,0)</f>
        <v/>
      </c>
      <c r="L428">
        <f>IF(F428="Y",B428*D428*Escalation!$B$3,0)</f>
        <v/>
      </c>
      <c r="M428">
        <f>IF(G428="Y",B428*D428*Escalation!$B$4,0)</f>
        <v/>
      </c>
      <c r="N428">
        <f>IF(H428="Y",B428*D428*Escalation!$B$5,0)</f>
        <v/>
      </c>
      <c r="O428">
        <f>IF(I428="Y",B428*D428*Escalation!$B$6,0)</f>
        <v/>
      </c>
      <c r="P428">
        <f>IF(J428="Y",B428*D428*Escalation!$B$7,0)</f>
        <v/>
      </c>
      <c r="R428">
        <f>SUM(K428:P428)</f>
        <v/>
      </c>
    </row>
    <row r="429">
      <c r="K429">
        <f>IF(E429="Y",B429*D429*Escalation!$B$2,0)</f>
        <v/>
      </c>
      <c r="L429">
        <f>IF(F429="Y",B429*D429*Escalation!$B$3,0)</f>
        <v/>
      </c>
      <c r="M429">
        <f>IF(G429="Y",B429*D429*Escalation!$B$4,0)</f>
        <v/>
      </c>
      <c r="N429">
        <f>IF(H429="Y",B429*D429*Escalation!$B$5,0)</f>
        <v/>
      </c>
      <c r="O429">
        <f>IF(I429="Y",B429*D429*Escalation!$B$6,0)</f>
        <v/>
      </c>
      <c r="P429">
        <f>IF(J429="Y",B429*D429*Escalation!$B$7,0)</f>
        <v/>
      </c>
      <c r="R429">
        <f>SUM(K429:P429)</f>
        <v/>
      </c>
    </row>
    <row r="430">
      <c r="K430">
        <f>IF(E430="Y",B430*D430*Escalation!$B$2,0)</f>
        <v/>
      </c>
      <c r="L430">
        <f>IF(F430="Y",B430*D430*Escalation!$B$3,0)</f>
        <v/>
      </c>
      <c r="M430">
        <f>IF(G430="Y",B430*D430*Escalation!$B$4,0)</f>
        <v/>
      </c>
      <c r="N430">
        <f>IF(H430="Y",B430*D430*Escalation!$B$5,0)</f>
        <v/>
      </c>
      <c r="O430">
        <f>IF(I430="Y",B430*D430*Escalation!$B$6,0)</f>
        <v/>
      </c>
      <c r="P430">
        <f>IF(J430="Y",B430*D430*Escalation!$B$7,0)</f>
        <v/>
      </c>
      <c r="R430">
        <f>SUM(K430:P430)</f>
        <v/>
      </c>
    </row>
    <row r="431">
      <c r="K431">
        <f>IF(E431="Y",B431*D431*Escalation!$B$2,0)</f>
        <v/>
      </c>
      <c r="L431">
        <f>IF(F431="Y",B431*D431*Escalation!$B$3,0)</f>
        <v/>
      </c>
      <c r="M431">
        <f>IF(G431="Y",B431*D431*Escalation!$B$4,0)</f>
        <v/>
      </c>
      <c r="N431">
        <f>IF(H431="Y",B431*D431*Escalation!$B$5,0)</f>
        <v/>
      </c>
      <c r="O431">
        <f>IF(I431="Y",B431*D431*Escalation!$B$6,0)</f>
        <v/>
      </c>
      <c r="P431">
        <f>IF(J431="Y",B431*D431*Escalation!$B$7,0)</f>
        <v/>
      </c>
      <c r="R431">
        <f>SUM(K431:P431)</f>
        <v/>
      </c>
    </row>
    <row r="432">
      <c r="K432">
        <f>IF(E432="Y",B432*D432*Escalation!$B$2,0)</f>
        <v/>
      </c>
      <c r="L432">
        <f>IF(F432="Y",B432*D432*Escalation!$B$3,0)</f>
        <v/>
      </c>
      <c r="M432">
        <f>IF(G432="Y",B432*D432*Escalation!$B$4,0)</f>
        <v/>
      </c>
      <c r="N432">
        <f>IF(H432="Y",B432*D432*Escalation!$B$5,0)</f>
        <v/>
      </c>
      <c r="O432">
        <f>IF(I432="Y",B432*D432*Escalation!$B$6,0)</f>
        <v/>
      </c>
      <c r="P432">
        <f>IF(J432="Y",B432*D432*Escalation!$B$7,0)</f>
        <v/>
      </c>
      <c r="R432">
        <f>SUM(K432:P432)</f>
        <v/>
      </c>
    </row>
    <row r="433">
      <c r="K433">
        <f>IF(E433="Y",B433*D433*Escalation!$B$2,0)</f>
        <v/>
      </c>
      <c r="L433">
        <f>IF(F433="Y",B433*D433*Escalation!$B$3,0)</f>
        <v/>
      </c>
      <c r="M433">
        <f>IF(G433="Y",B433*D433*Escalation!$B$4,0)</f>
        <v/>
      </c>
      <c r="N433">
        <f>IF(H433="Y",B433*D433*Escalation!$B$5,0)</f>
        <v/>
      </c>
      <c r="O433">
        <f>IF(I433="Y",B433*D433*Escalation!$B$6,0)</f>
        <v/>
      </c>
      <c r="P433">
        <f>IF(J433="Y",B433*D433*Escalation!$B$7,0)</f>
        <v/>
      </c>
      <c r="R433">
        <f>SUM(K433:P433)</f>
        <v/>
      </c>
    </row>
    <row r="434">
      <c r="K434">
        <f>IF(E434="Y",B434*D434*Escalation!$B$2,0)</f>
        <v/>
      </c>
      <c r="L434">
        <f>IF(F434="Y",B434*D434*Escalation!$B$3,0)</f>
        <v/>
      </c>
      <c r="M434">
        <f>IF(G434="Y",B434*D434*Escalation!$B$4,0)</f>
        <v/>
      </c>
      <c r="N434">
        <f>IF(H434="Y",B434*D434*Escalation!$B$5,0)</f>
        <v/>
      </c>
      <c r="O434">
        <f>IF(I434="Y",B434*D434*Escalation!$B$6,0)</f>
        <v/>
      </c>
      <c r="P434">
        <f>IF(J434="Y",B434*D434*Escalation!$B$7,0)</f>
        <v/>
      </c>
      <c r="R434">
        <f>SUM(K434:P434)</f>
        <v/>
      </c>
    </row>
    <row r="435">
      <c r="K435">
        <f>IF(E435="Y",B435*D435*Escalation!$B$2,0)</f>
        <v/>
      </c>
      <c r="L435">
        <f>IF(F435="Y",B435*D435*Escalation!$B$3,0)</f>
        <v/>
      </c>
      <c r="M435">
        <f>IF(G435="Y",B435*D435*Escalation!$B$4,0)</f>
        <v/>
      </c>
      <c r="N435">
        <f>IF(H435="Y",B435*D435*Escalation!$B$5,0)</f>
        <v/>
      </c>
      <c r="O435">
        <f>IF(I435="Y",B435*D435*Escalation!$B$6,0)</f>
        <v/>
      </c>
      <c r="P435">
        <f>IF(J435="Y",B435*D435*Escalation!$B$7,0)</f>
        <v/>
      </c>
      <c r="R435">
        <f>SUM(K435:P435)</f>
        <v/>
      </c>
    </row>
    <row r="436">
      <c r="K436">
        <f>IF(E436="Y",B436*D436*Escalation!$B$2,0)</f>
        <v/>
      </c>
      <c r="L436">
        <f>IF(F436="Y",B436*D436*Escalation!$B$3,0)</f>
        <v/>
      </c>
      <c r="M436">
        <f>IF(G436="Y",B436*D436*Escalation!$B$4,0)</f>
        <v/>
      </c>
      <c r="N436">
        <f>IF(H436="Y",B436*D436*Escalation!$B$5,0)</f>
        <v/>
      </c>
      <c r="O436">
        <f>IF(I436="Y",B436*D436*Escalation!$B$6,0)</f>
        <v/>
      </c>
      <c r="P436">
        <f>IF(J436="Y",B436*D436*Escalation!$B$7,0)</f>
        <v/>
      </c>
      <c r="R436">
        <f>SUM(K436:P436)</f>
        <v/>
      </c>
    </row>
    <row r="437">
      <c r="K437">
        <f>IF(E437="Y",B437*D437*Escalation!$B$2,0)</f>
        <v/>
      </c>
      <c r="L437">
        <f>IF(F437="Y",B437*D437*Escalation!$B$3,0)</f>
        <v/>
      </c>
      <c r="M437">
        <f>IF(G437="Y",B437*D437*Escalation!$B$4,0)</f>
        <v/>
      </c>
      <c r="N437">
        <f>IF(H437="Y",B437*D437*Escalation!$B$5,0)</f>
        <v/>
      </c>
      <c r="O437">
        <f>IF(I437="Y",B437*D437*Escalation!$B$6,0)</f>
        <v/>
      </c>
      <c r="P437">
        <f>IF(J437="Y",B437*D437*Escalation!$B$7,0)</f>
        <v/>
      </c>
      <c r="R437">
        <f>SUM(K437:P437)</f>
        <v/>
      </c>
    </row>
    <row r="438">
      <c r="K438">
        <f>IF(E438="Y",B438*D438*Escalation!$B$2,0)</f>
        <v/>
      </c>
      <c r="L438">
        <f>IF(F438="Y",B438*D438*Escalation!$B$3,0)</f>
        <v/>
      </c>
      <c r="M438">
        <f>IF(G438="Y",B438*D438*Escalation!$B$4,0)</f>
        <v/>
      </c>
      <c r="N438">
        <f>IF(H438="Y",B438*D438*Escalation!$B$5,0)</f>
        <v/>
      </c>
      <c r="O438">
        <f>IF(I438="Y",B438*D438*Escalation!$B$6,0)</f>
        <v/>
      </c>
      <c r="P438">
        <f>IF(J438="Y",B438*D438*Escalation!$B$7,0)</f>
        <v/>
      </c>
      <c r="R438">
        <f>SUM(K438:P438)</f>
        <v/>
      </c>
    </row>
    <row r="439">
      <c r="K439">
        <f>IF(E439="Y",B439*D439*Escalation!$B$2,0)</f>
        <v/>
      </c>
      <c r="L439">
        <f>IF(F439="Y",B439*D439*Escalation!$B$3,0)</f>
        <v/>
      </c>
      <c r="M439">
        <f>IF(G439="Y",B439*D439*Escalation!$B$4,0)</f>
        <v/>
      </c>
      <c r="N439">
        <f>IF(H439="Y",B439*D439*Escalation!$B$5,0)</f>
        <v/>
      </c>
      <c r="O439">
        <f>IF(I439="Y",B439*D439*Escalation!$B$6,0)</f>
        <v/>
      </c>
      <c r="P439">
        <f>IF(J439="Y",B439*D439*Escalation!$B$7,0)</f>
        <v/>
      </c>
      <c r="R439">
        <f>SUM(K439:P439)</f>
        <v/>
      </c>
    </row>
    <row r="440">
      <c r="K440">
        <f>IF(E440="Y",B440*D440*Escalation!$B$2,0)</f>
        <v/>
      </c>
      <c r="L440">
        <f>IF(F440="Y",B440*D440*Escalation!$B$3,0)</f>
        <v/>
      </c>
      <c r="M440">
        <f>IF(G440="Y",B440*D440*Escalation!$B$4,0)</f>
        <v/>
      </c>
      <c r="N440">
        <f>IF(H440="Y",B440*D440*Escalation!$B$5,0)</f>
        <v/>
      </c>
      <c r="O440">
        <f>IF(I440="Y",B440*D440*Escalation!$B$6,0)</f>
        <v/>
      </c>
      <c r="P440">
        <f>IF(J440="Y",B440*D440*Escalation!$B$7,0)</f>
        <v/>
      </c>
      <c r="R440">
        <f>SUM(K440:P440)</f>
        <v/>
      </c>
    </row>
    <row r="441">
      <c r="K441">
        <f>IF(E441="Y",B441*D441*Escalation!$B$2,0)</f>
        <v/>
      </c>
      <c r="L441">
        <f>IF(F441="Y",B441*D441*Escalation!$B$3,0)</f>
        <v/>
      </c>
      <c r="M441">
        <f>IF(G441="Y",B441*D441*Escalation!$B$4,0)</f>
        <v/>
      </c>
      <c r="N441">
        <f>IF(H441="Y",B441*D441*Escalation!$B$5,0)</f>
        <v/>
      </c>
      <c r="O441">
        <f>IF(I441="Y",B441*D441*Escalation!$B$6,0)</f>
        <v/>
      </c>
      <c r="P441">
        <f>IF(J441="Y",B441*D441*Escalation!$B$7,0)</f>
        <v/>
      </c>
      <c r="R441">
        <f>SUM(K441:P441)</f>
        <v/>
      </c>
    </row>
    <row r="442">
      <c r="K442">
        <f>IF(E442="Y",B442*D442*Escalation!$B$2,0)</f>
        <v/>
      </c>
      <c r="L442">
        <f>IF(F442="Y",B442*D442*Escalation!$B$3,0)</f>
        <v/>
      </c>
      <c r="M442">
        <f>IF(G442="Y",B442*D442*Escalation!$B$4,0)</f>
        <v/>
      </c>
      <c r="N442">
        <f>IF(H442="Y",B442*D442*Escalation!$B$5,0)</f>
        <v/>
      </c>
      <c r="O442">
        <f>IF(I442="Y",B442*D442*Escalation!$B$6,0)</f>
        <v/>
      </c>
      <c r="P442">
        <f>IF(J442="Y",B442*D442*Escalation!$B$7,0)</f>
        <v/>
      </c>
      <c r="R442">
        <f>SUM(K442:P442)</f>
        <v/>
      </c>
    </row>
    <row r="443">
      <c r="K443">
        <f>IF(E443="Y",B443*D443*Escalation!$B$2,0)</f>
        <v/>
      </c>
      <c r="L443">
        <f>IF(F443="Y",B443*D443*Escalation!$B$3,0)</f>
        <v/>
      </c>
      <c r="M443">
        <f>IF(G443="Y",B443*D443*Escalation!$B$4,0)</f>
        <v/>
      </c>
      <c r="N443">
        <f>IF(H443="Y",B443*D443*Escalation!$B$5,0)</f>
        <v/>
      </c>
      <c r="O443">
        <f>IF(I443="Y",B443*D443*Escalation!$B$6,0)</f>
        <v/>
      </c>
      <c r="P443">
        <f>IF(J443="Y",B443*D443*Escalation!$B$7,0)</f>
        <v/>
      </c>
      <c r="R443">
        <f>SUM(K443:P443)</f>
        <v/>
      </c>
    </row>
    <row r="444">
      <c r="K444">
        <f>IF(E444="Y",B444*D444*Escalation!$B$2,0)</f>
        <v/>
      </c>
      <c r="L444">
        <f>IF(F444="Y",B444*D444*Escalation!$B$3,0)</f>
        <v/>
      </c>
      <c r="M444">
        <f>IF(G444="Y",B444*D444*Escalation!$B$4,0)</f>
        <v/>
      </c>
      <c r="N444">
        <f>IF(H444="Y",B444*D444*Escalation!$B$5,0)</f>
        <v/>
      </c>
      <c r="O444">
        <f>IF(I444="Y",B444*D444*Escalation!$B$6,0)</f>
        <v/>
      </c>
      <c r="P444">
        <f>IF(J444="Y",B444*D444*Escalation!$B$7,0)</f>
        <v/>
      </c>
      <c r="R444">
        <f>SUM(K444:P444)</f>
        <v/>
      </c>
    </row>
    <row r="445">
      <c r="K445">
        <f>IF(E445="Y",B445*D445*Escalation!$B$2,0)</f>
        <v/>
      </c>
      <c r="L445">
        <f>IF(F445="Y",B445*D445*Escalation!$B$3,0)</f>
        <v/>
      </c>
      <c r="M445">
        <f>IF(G445="Y",B445*D445*Escalation!$B$4,0)</f>
        <v/>
      </c>
      <c r="N445">
        <f>IF(H445="Y",B445*D445*Escalation!$B$5,0)</f>
        <v/>
      </c>
      <c r="O445">
        <f>IF(I445="Y",B445*D445*Escalation!$B$6,0)</f>
        <v/>
      </c>
      <c r="P445">
        <f>IF(J445="Y",B445*D445*Escalation!$B$7,0)</f>
        <v/>
      </c>
      <c r="R445">
        <f>SUM(K445:P445)</f>
        <v/>
      </c>
    </row>
    <row r="446">
      <c r="K446">
        <f>IF(E446="Y",B446*D446*Escalation!$B$2,0)</f>
        <v/>
      </c>
      <c r="L446">
        <f>IF(F446="Y",B446*D446*Escalation!$B$3,0)</f>
        <v/>
      </c>
      <c r="M446">
        <f>IF(G446="Y",B446*D446*Escalation!$B$4,0)</f>
        <v/>
      </c>
      <c r="N446">
        <f>IF(H446="Y",B446*D446*Escalation!$B$5,0)</f>
        <v/>
      </c>
      <c r="O446">
        <f>IF(I446="Y",B446*D446*Escalation!$B$6,0)</f>
        <v/>
      </c>
      <c r="P446">
        <f>IF(J446="Y",B446*D446*Escalation!$B$7,0)</f>
        <v/>
      </c>
      <c r="R446">
        <f>SUM(K446:P446)</f>
        <v/>
      </c>
    </row>
    <row r="447">
      <c r="K447">
        <f>IF(E447="Y",B447*D447*Escalation!$B$2,0)</f>
        <v/>
      </c>
      <c r="L447">
        <f>IF(F447="Y",B447*D447*Escalation!$B$3,0)</f>
        <v/>
      </c>
      <c r="M447">
        <f>IF(G447="Y",B447*D447*Escalation!$B$4,0)</f>
        <v/>
      </c>
      <c r="N447">
        <f>IF(H447="Y",B447*D447*Escalation!$B$5,0)</f>
        <v/>
      </c>
      <c r="O447">
        <f>IF(I447="Y",B447*D447*Escalation!$B$6,0)</f>
        <v/>
      </c>
      <c r="P447">
        <f>IF(J447="Y",B447*D447*Escalation!$B$7,0)</f>
        <v/>
      </c>
      <c r="R447">
        <f>SUM(K447:P447)</f>
        <v/>
      </c>
    </row>
    <row r="448">
      <c r="K448">
        <f>IF(E448="Y",B448*D448*Escalation!$B$2,0)</f>
        <v/>
      </c>
      <c r="L448">
        <f>IF(F448="Y",B448*D448*Escalation!$B$3,0)</f>
        <v/>
      </c>
      <c r="M448">
        <f>IF(G448="Y",B448*D448*Escalation!$B$4,0)</f>
        <v/>
      </c>
      <c r="N448">
        <f>IF(H448="Y",B448*D448*Escalation!$B$5,0)</f>
        <v/>
      </c>
      <c r="O448">
        <f>IF(I448="Y",B448*D448*Escalation!$B$6,0)</f>
        <v/>
      </c>
      <c r="P448">
        <f>IF(J448="Y",B448*D448*Escalation!$B$7,0)</f>
        <v/>
      </c>
      <c r="R448">
        <f>SUM(K448:P448)</f>
        <v/>
      </c>
    </row>
    <row r="449">
      <c r="K449">
        <f>IF(E449="Y",B449*D449*Escalation!$B$2,0)</f>
        <v/>
      </c>
      <c r="L449">
        <f>IF(F449="Y",B449*D449*Escalation!$B$3,0)</f>
        <v/>
      </c>
      <c r="M449">
        <f>IF(G449="Y",B449*D449*Escalation!$B$4,0)</f>
        <v/>
      </c>
      <c r="N449">
        <f>IF(H449="Y",B449*D449*Escalation!$B$5,0)</f>
        <v/>
      </c>
      <c r="O449">
        <f>IF(I449="Y",B449*D449*Escalation!$B$6,0)</f>
        <v/>
      </c>
      <c r="P449">
        <f>IF(J449="Y",B449*D449*Escalation!$B$7,0)</f>
        <v/>
      </c>
      <c r="R449">
        <f>SUM(K449:P449)</f>
        <v/>
      </c>
    </row>
    <row r="450">
      <c r="K450">
        <f>IF(E450="Y",B450*D450*Escalation!$B$2,0)</f>
        <v/>
      </c>
      <c r="L450">
        <f>IF(F450="Y",B450*D450*Escalation!$B$3,0)</f>
        <v/>
      </c>
      <c r="M450">
        <f>IF(G450="Y",B450*D450*Escalation!$B$4,0)</f>
        <v/>
      </c>
      <c r="N450">
        <f>IF(H450="Y",B450*D450*Escalation!$B$5,0)</f>
        <v/>
      </c>
      <c r="O450">
        <f>IF(I450="Y",B450*D450*Escalation!$B$6,0)</f>
        <v/>
      </c>
      <c r="P450">
        <f>IF(J450="Y",B450*D450*Escalation!$B$7,0)</f>
        <v/>
      </c>
      <c r="R450">
        <f>SUM(K450:P450)</f>
        <v/>
      </c>
    </row>
    <row r="451">
      <c r="K451">
        <f>IF(E451="Y",B451*D451*Escalation!$B$2,0)</f>
        <v/>
      </c>
      <c r="L451">
        <f>IF(F451="Y",B451*D451*Escalation!$B$3,0)</f>
        <v/>
      </c>
      <c r="M451">
        <f>IF(G451="Y",B451*D451*Escalation!$B$4,0)</f>
        <v/>
      </c>
      <c r="N451">
        <f>IF(H451="Y",B451*D451*Escalation!$B$5,0)</f>
        <v/>
      </c>
      <c r="O451">
        <f>IF(I451="Y",B451*D451*Escalation!$B$6,0)</f>
        <v/>
      </c>
      <c r="P451">
        <f>IF(J451="Y",B451*D451*Escalation!$B$7,0)</f>
        <v/>
      </c>
      <c r="R451">
        <f>SUM(K451:P451)</f>
        <v/>
      </c>
    </row>
    <row r="452">
      <c r="K452">
        <f>IF(E452="Y",B452*D452*Escalation!$B$2,0)</f>
        <v/>
      </c>
      <c r="L452">
        <f>IF(F452="Y",B452*D452*Escalation!$B$3,0)</f>
        <v/>
      </c>
      <c r="M452">
        <f>IF(G452="Y",B452*D452*Escalation!$B$4,0)</f>
        <v/>
      </c>
      <c r="N452">
        <f>IF(H452="Y",B452*D452*Escalation!$B$5,0)</f>
        <v/>
      </c>
      <c r="O452">
        <f>IF(I452="Y",B452*D452*Escalation!$B$6,0)</f>
        <v/>
      </c>
      <c r="P452">
        <f>IF(J452="Y",B452*D452*Escalation!$B$7,0)</f>
        <v/>
      </c>
      <c r="R452">
        <f>SUM(K452:P452)</f>
        <v/>
      </c>
    </row>
    <row r="453">
      <c r="K453">
        <f>IF(E453="Y",B453*D453*Escalation!$B$2,0)</f>
        <v/>
      </c>
      <c r="L453">
        <f>IF(F453="Y",B453*D453*Escalation!$B$3,0)</f>
        <v/>
      </c>
      <c r="M453">
        <f>IF(G453="Y",B453*D453*Escalation!$B$4,0)</f>
        <v/>
      </c>
      <c r="N453">
        <f>IF(H453="Y",B453*D453*Escalation!$B$5,0)</f>
        <v/>
      </c>
      <c r="O453">
        <f>IF(I453="Y",B453*D453*Escalation!$B$6,0)</f>
        <v/>
      </c>
      <c r="P453">
        <f>IF(J453="Y",B453*D453*Escalation!$B$7,0)</f>
        <v/>
      </c>
      <c r="R453">
        <f>SUM(K453:P453)</f>
        <v/>
      </c>
    </row>
    <row r="454">
      <c r="K454">
        <f>IF(E454="Y",B454*D454*Escalation!$B$2,0)</f>
        <v/>
      </c>
      <c r="L454">
        <f>IF(F454="Y",B454*D454*Escalation!$B$3,0)</f>
        <v/>
      </c>
      <c r="M454">
        <f>IF(G454="Y",B454*D454*Escalation!$B$4,0)</f>
        <v/>
      </c>
      <c r="N454">
        <f>IF(H454="Y",B454*D454*Escalation!$B$5,0)</f>
        <v/>
      </c>
      <c r="O454">
        <f>IF(I454="Y",B454*D454*Escalation!$B$6,0)</f>
        <v/>
      </c>
      <c r="P454">
        <f>IF(J454="Y",B454*D454*Escalation!$B$7,0)</f>
        <v/>
      </c>
      <c r="R454">
        <f>SUM(K454:P454)</f>
        <v/>
      </c>
    </row>
    <row r="455">
      <c r="K455">
        <f>IF(E455="Y",B455*D455*Escalation!$B$2,0)</f>
        <v/>
      </c>
      <c r="L455">
        <f>IF(F455="Y",B455*D455*Escalation!$B$3,0)</f>
        <v/>
      </c>
      <c r="M455">
        <f>IF(G455="Y",B455*D455*Escalation!$B$4,0)</f>
        <v/>
      </c>
      <c r="N455">
        <f>IF(H455="Y",B455*D455*Escalation!$B$5,0)</f>
        <v/>
      </c>
      <c r="O455">
        <f>IF(I455="Y",B455*D455*Escalation!$B$6,0)</f>
        <v/>
      </c>
      <c r="P455">
        <f>IF(J455="Y",B455*D455*Escalation!$B$7,0)</f>
        <v/>
      </c>
      <c r="R455">
        <f>SUM(K455:P455)</f>
        <v/>
      </c>
    </row>
    <row r="456">
      <c r="K456">
        <f>IF(E456="Y",B456*D456*Escalation!$B$2,0)</f>
        <v/>
      </c>
      <c r="L456">
        <f>IF(F456="Y",B456*D456*Escalation!$B$3,0)</f>
        <v/>
      </c>
      <c r="M456">
        <f>IF(G456="Y",B456*D456*Escalation!$B$4,0)</f>
        <v/>
      </c>
      <c r="N456">
        <f>IF(H456="Y",B456*D456*Escalation!$B$5,0)</f>
        <v/>
      </c>
      <c r="O456">
        <f>IF(I456="Y",B456*D456*Escalation!$B$6,0)</f>
        <v/>
      </c>
      <c r="P456">
        <f>IF(J456="Y",B456*D456*Escalation!$B$7,0)</f>
        <v/>
      </c>
      <c r="R456">
        <f>SUM(K456:P456)</f>
        <v/>
      </c>
    </row>
    <row r="457">
      <c r="K457">
        <f>IF(E457="Y",B457*D457*Escalation!$B$2,0)</f>
        <v/>
      </c>
      <c r="L457">
        <f>IF(F457="Y",B457*D457*Escalation!$B$3,0)</f>
        <v/>
      </c>
      <c r="M457">
        <f>IF(G457="Y",B457*D457*Escalation!$B$4,0)</f>
        <v/>
      </c>
      <c r="N457">
        <f>IF(H457="Y",B457*D457*Escalation!$B$5,0)</f>
        <v/>
      </c>
      <c r="O457">
        <f>IF(I457="Y",B457*D457*Escalation!$B$6,0)</f>
        <v/>
      </c>
      <c r="P457">
        <f>IF(J457="Y",B457*D457*Escalation!$B$7,0)</f>
        <v/>
      </c>
      <c r="R457">
        <f>SUM(K457:P457)</f>
        <v/>
      </c>
    </row>
    <row r="458">
      <c r="K458">
        <f>IF(E458="Y",B458*D458*Escalation!$B$2,0)</f>
        <v/>
      </c>
      <c r="L458">
        <f>IF(F458="Y",B458*D458*Escalation!$B$3,0)</f>
        <v/>
      </c>
      <c r="M458">
        <f>IF(G458="Y",B458*D458*Escalation!$B$4,0)</f>
        <v/>
      </c>
      <c r="N458">
        <f>IF(H458="Y",B458*D458*Escalation!$B$5,0)</f>
        <v/>
      </c>
      <c r="O458">
        <f>IF(I458="Y",B458*D458*Escalation!$B$6,0)</f>
        <v/>
      </c>
      <c r="P458">
        <f>IF(J458="Y",B458*D458*Escalation!$B$7,0)</f>
        <v/>
      </c>
      <c r="R458">
        <f>SUM(K458:P458)</f>
        <v/>
      </c>
    </row>
    <row r="459">
      <c r="K459">
        <f>IF(E459="Y",B459*D459*Escalation!$B$2,0)</f>
        <v/>
      </c>
      <c r="L459">
        <f>IF(F459="Y",B459*D459*Escalation!$B$3,0)</f>
        <v/>
      </c>
      <c r="M459">
        <f>IF(G459="Y",B459*D459*Escalation!$B$4,0)</f>
        <v/>
      </c>
      <c r="N459">
        <f>IF(H459="Y",B459*D459*Escalation!$B$5,0)</f>
        <v/>
      </c>
      <c r="O459">
        <f>IF(I459="Y",B459*D459*Escalation!$B$6,0)</f>
        <v/>
      </c>
      <c r="P459">
        <f>IF(J459="Y",B459*D459*Escalation!$B$7,0)</f>
        <v/>
      </c>
      <c r="R459">
        <f>SUM(K459:P459)</f>
        <v/>
      </c>
    </row>
    <row r="460">
      <c r="K460">
        <f>IF(E460="Y",B460*D460*Escalation!$B$2,0)</f>
        <v/>
      </c>
      <c r="L460">
        <f>IF(F460="Y",B460*D460*Escalation!$B$3,0)</f>
        <v/>
      </c>
      <c r="M460">
        <f>IF(G460="Y",B460*D460*Escalation!$B$4,0)</f>
        <v/>
      </c>
      <c r="N460">
        <f>IF(H460="Y",B460*D460*Escalation!$B$5,0)</f>
        <v/>
      </c>
      <c r="O460">
        <f>IF(I460="Y",B460*D460*Escalation!$B$6,0)</f>
        <v/>
      </c>
      <c r="P460">
        <f>IF(J460="Y",B460*D460*Escalation!$B$7,0)</f>
        <v/>
      </c>
      <c r="R460">
        <f>SUM(K460:P460)</f>
        <v/>
      </c>
    </row>
    <row r="461">
      <c r="K461">
        <f>IF(E461="Y",B461*D461*Escalation!$B$2,0)</f>
        <v/>
      </c>
      <c r="L461">
        <f>IF(F461="Y",B461*D461*Escalation!$B$3,0)</f>
        <v/>
      </c>
      <c r="M461">
        <f>IF(G461="Y",B461*D461*Escalation!$B$4,0)</f>
        <v/>
      </c>
      <c r="N461">
        <f>IF(H461="Y",B461*D461*Escalation!$B$5,0)</f>
        <v/>
      </c>
      <c r="O461">
        <f>IF(I461="Y",B461*D461*Escalation!$B$6,0)</f>
        <v/>
      </c>
      <c r="P461">
        <f>IF(J461="Y",B461*D461*Escalation!$B$7,0)</f>
        <v/>
      </c>
      <c r="R461">
        <f>SUM(K461:P461)</f>
        <v/>
      </c>
    </row>
    <row r="462">
      <c r="K462">
        <f>IF(E462="Y",B462*D462*Escalation!$B$2,0)</f>
        <v/>
      </c>
      <c r="L462">
        <f>IF(F462="Y",B462*D462*Escalation!$B$3,0)</f>
        <v/>
      </c>
      <c r="M462">
        <f>IF(G462="Y",B462*D462*Escalation!$B$4,0)</f>
        <v/>
      </c>
      <c r="N462">
        <f>IF(H462="Y",B462*D462*Escalation!$B$5,0)</f>
        <v/>
      </c>
      <c r="O462">
        <f>IF(I462="Y",B462*D462*Escalation!$B$6,0)</f>
        <v/>
      </c>
      <c r="P462">
        <f>IF(J462="Y",B462*D462*Escalation!$B$7,0)</f>
        <v/>
      </c>
      <c r="R462">
        <f>SUM(K462:P462)</f>
        <v/>
      </c>
    </row>
    <row r="463">
      <c r="K463">
        <f>IF(E463="Y",B463*D463*Escalation!$B$2,0)</f>
        <v/>
      </c>
      <c r="L463">
        <f>IF(F463="Y",B463*D463*Escalation!$B$3,0)</f>
        <v/>
      </c>
      <c r="M463">
        <f>IF(G463="Y",B463*D463*Escalation!$B$4,0)</f>
        <v/>
      </c>
      <c r="N463">
        <f>IF(H463="Y",B463*D463*Escalation!$B$5,0)</f>
        <v/>
      </c>
      <c r="O463">
        <f>IF(I463="Y",B463*D463*Escalation!$B$6,0)</f>
        <v/>
      </c>
      <c r="P463">
        <f>IF(J463="Y",B463*D463*Escalation!$B$7,0)</f>
        <v/>
      </c>
      <c r="R463">
        <f>SUM(K463:P463)</f>
        <v/>
      </c>
    </row>
    <row r="464">
      <c r="K464">
        <f>IF(E464="Y",B464*D464*Escalation!$B$2,0)</f>
        <v/>
      </c>
      <c r="L464">
        <f>IF(F464="Y",B464*D464*Escalation!$B$3,0)</f>
        <v/>
      </c>
      <c r="M464">
        <f>IF(G464="Y",B464*D464*Escalation!$B$4,0)</f>
        <v/>
      </c>
      <c r="N464">
        <f>IF(H464="Y",B464*D464*Escalation!$B$5,0)</f>
        <v/>
      </c>
      <c r="O464">
        <f>IF(I464="Y",B464*D464*Escalation!$B$6,0)</f>
        <v/>
      </c>
      <c r="P464">
        <f>IF(J464="Y",B464*D464*Escalation!$B$7,0)</f>
        <v/>
      </c>
      <c r="R464">
        <f>SUM(K464:P464)</f>
        <v/>
      </c>
    </row>
    <row r="465">
      <c r="K465">
        <f>IF(E465="Y",B465*D465*Escalation!$B$2,0)</f>
        <v/>
      </c>
      <c r="L465">
        <f>IF(F465="Y",B465*D465*Escalation!$B$3,0)</f>
        <v/>
      </c>
      <c r="M465">
        <f>IF(G465="Y",B465*D465*Escalation!$B$4,0)</f>
        <v/>
      </c>
      <c r="N465">
        <f>IF(H465="Y",B465*D465*Escalation!$B$5,0)</f>
        <v/>
      </c>
      <c r="O465">
        <f>IF(I465="Y",B465*D465*Escalation!$B$6,0)</f>
        <v/>
      </c>
      <c r="P465">
        <f>IF(J465="Y",B465*D465*Escalation!$B$7,0)</f>
        <v/>
      </c>
      <c r="R465">
        <f>SUM(K465:P465)</f>
        <v/>
      </c>
    </row>
    <row r="466">
      <c r="K466">
        <f>IF(E466="Y",B466*D466*Escalation!$B$2,0)</f>
        <v/>
      </c>
      <c r="L466">
        <f>IF(F466="Y",B466*D466*Escalation!$B$3,0)</f>
        <v/>
      </c>
      <c r="M466">
        <f>IF(G466="Y",B466*D466*Escalation!$B$4,0)</f>
        <v/>
      </c>
      <c r="N466">
        <f>IF(H466="Y",B466*D466*Escalation!$B$5,0)</f>
        <v/>
      </c>
      <c r="O466">
        <f>IF(I466="Y",B466*D466*Escalation!$B$6,0)</f>
        <v/>
      </c>
      <c r="P466">
        <f>IF(J466="Y",B466*D466*Escalation!$B$7,0)</f>
        <v/>
      </c>
      <c r="R466">
        <f>SUM(K466:P466)</f>
        <v/>
      </c>
    </row>
    <row r="467">
      <c r="K467">
        <f>IF(E467="Y",B467*D467*Escalation!$B$2,0)</f>
        <v/>
      </c>
      <c r="L467">
        <f>IF(F467="Y",B467*D467*Escalation!$B$3,0)</f>
        <v/>
      </c>
      <c r="M467">
        <f>IF(G467="Y",B467*D467*Escalation!$B$4,0)</f>
        <v/>
      </c>
      <c r="N467">
        <f>IF(H467="Y",B467*D467*Escalation!$B$5,0)</f>
        <v/>
      </c>
      <c r="O467">
        <f>IF(I467="Y",B467*D467*Escalation!$B$6,0)</f>
        <v/>
      </c>
      <c r="P467">
        <f>IF(J467="Y",B467*D467*Escalation!$B$7,0)</f>
        <v/>
      </c>
      <c r="R467">
        <f>SUM(K467:P467)</f>
        <v/>
      </c>
    </row>
    <row r="468">
      <c r="K468">
        <f>IF(E468="Y",B468*D468*Escalation!$B$2,0)</f>
        <v/>
      </c>
      <c r="L468">
        <f>IF(F468="Y",B468*D468*Escalation!$B$3,0)</f>
        <v/>
      </c>
      <c r="M468">
        <f>IF(G468="Y",B468*D468*Escalation!$B$4,0)</f>
        <v/>
      </c>
      <c r="N468">
        <f>IF(H468="Y",B468*D468*Escalation!$B$5,0)</f>
        <v/>
      </c>
      <c r="O468">
        <f>IF(I468="Y",B468*D468*Escalation!$B$6,0)</f>
        <v/>
      </c>
      <c r="P468">
        <f>IF(J468="Y",B468*D468*Escalation!$B$7,0)</f>
        <v/>
      </c>
      <c r="R468">
        <f>SUM(K468:P468)</f>
        <v/>
      </c>
    </row>
    <row r="469">
      <c r="K469">
        <f>IF(E469="Y",B469*D469*Escalation!$B$2,0)</f>
        <v/>
      </c>
      <c r="L469">
        <f>IF(F469="Y",B469*D469*Escalation!$B$3,0)</f>
        <v/>
      </c>
      <c r="M469">
        <f>IF(G469="Y",B469*D469*Escalation!$B$4,0)</f>
        <v/>
      </c>
      <c r="N469">
        <f>IF(H469="Y",B469*D469*Escalation!$B$5,0)</f>
        <v/>
      </c>
      <c r="O469">
        <f>IF(I469="Y",B469*D469*Escalation!$B$6,0)</f>
        <v/>
      </c>
      <c r="P469">
        <f>IF(J469="Y",B469*D469*Escalation!$B$7,0)</f>
        <v/>
      </c>
      <c r="R469">
        <f>SUM(K469:P469)</f>
        <v/>
      </c>
    </row>
    <row r="470">
      <c r="K470">
        <f>IF(E470="Y",B470*D470*Escalation!$B$2,0)</f>
        <v/>
      </c>
      <c r="L470">
        <f>IF(F470="Y",B470*D470*Escalation!$B$3,0)</f>
        <v/>
      </c>
      <c r="M470">
        <f>IF(G470="Y",B470*D470*Escalation!$B$4,0)</f>
        <v/>
      </c>
      <c r="N470">
        <f>IF(H470="Y",B470*D470*Escalation!$B$5,0)</f>
        <v/>
      </c>
      <c r="O470">
        <f>IF(I470="Y",B470*D470*Escalation!$B$6,0)</f>
        <v/>
      </c>
      <c r="P470">
        <f>IF(J470="Y",B470*D470*Escalation!$B$7,0)</f>
        <v/>
      </c>
      <c r="R470">
        <f>SUM(K470:P470)</f>
        <v/>
      </c>
    </row>
    <row r="471">
      <c r="K471">
        <f>IF(E471="Y",B471*D471*Escalation!$B$2,0)</f>
        <v/>
      </c>
      <c r="L471">
        <f>IF(F471="Y",B471*D471*Escalation!$B$3,0)</f>
        <v/>
      </c>
      <c r="M471">
        <f>IF(G471="Y",B471*D471*Escalation!$B$4,0)</f>
        <v/>
      </c>
      <c r="N471">
        <f>IF(H471="Y",B471*D471*Escalation!$B$5,0)</f>
        <v/>
      </c>
      <c r="O471">
        <f>IF(I471="Y",B471*D471*Escalation!$B$6,0)</f>
        <v/>
      </c>
      <c r="P471">
        <f>IF(J471="Y",B471*D471*Escalation!$B$7,0)</f>
        <v/>
      </c>
      <c r="R471">
        <f>SUM(K471:P471)</f>
        <v/>
      </c>
    </row>
    <row r="472">
      <c r="K472">
        <f>IF(E472="Y",B472*D472*Escalation!$B$2,0)</f>
        <v/>
      </c>
      <c r="L472">
        <f>IF(F472="Y",B472*D472*Escalation!$B$3,0)</f>
        <v/>
      </c>
      <c r="M472">
        <f>IF(G472="Y",B472*D472*Escalation!$B$4,0)</f>
        <v/>
      </c>
      <c r="N472">
        <f>IF(H472="Y",B472*D472*Escalation!$B$5,0)</f>
        <v/>
      </c>
      <c r="O472">
        <f>IF(I472="Y",B472*D472*Escalation!$B$6,0)</f>
        <v/>
      </c>
      <c r="P472">
        <f>IF(J472="Y",B472*D472*Escalation!$B$7,0)</f>
        <v/>
      </c>
      <c r="R472">
        <f>SUM(K472:P472)</f>
        <v/>
      </c>
    </row>
    <row r="473">
      <c r="K473">
        <f>IF(E473="Y",B473*D473*Escalation!$B$2,0)</f>
        <v/>
      </c>
      <c r="L473">
        <f>IF(F473="Y",B473*D473*Escalation!$B$3,0)</f>
        <v/>
      </c>
      <c r="M473">
        <f>IF(G473="Y",B473*D473*Escalation!$B$4,0)</f>
        <v/>
      </c>
      <c r="N473">
        <f>IF(H473="Y",B473*D473*Escalation!$B$5,0)</f>
        <v/>
      </c>
      <c r="O473">
        <f>IF(I473="Y",B473*D473*Escalation!$B$6,0)</f>
        <v/>
      </c>
      <c r="P473">
        <f>IF(J473="Y",B473*D473*Escalation!$B$7,0)</f>
        <v/>
      </c>
      <c r="R473">
        <f>SUM(K473:P473)</f>
        <v/>
      </c>
    </row>
    <row r="474">
      <c r="K474">
        <f>IF(E474="Y",B474*D474*Escalation!$B$2,0)</f>
        <v/>
      </c>
      <c r="L474">
        <f>IF(F474="Y",B474*D474*Escalation!$B$3,0)</f>
        <v/>
      </c>
      <c r="M474">
        <f>IF(G474="Y",B474*D474*Escalation!$B$4,0)</f>
        <v/>
      </c>
      <c r="N474">
        <f>IF(H474="Y",B474*D474*Escalation!$B$5,0)</f>
        <v/>
      </c>
      <c r="O474">
        <f>IF(I474="Y",B474*D474*Escalation!$B$6,0)</f>
        <v/>
      </c>
      <c r="P474">
        <f>IF(J474="Y",B474*D474*Escalation!$B$7,0)</f>
        <v/>
      </c>
      <c r="R474">
        <f>SUM(K474:P474)</f>
        <v/>
      </c>
    </row>
    <row r="475">
      <c r="K475">
        <f>IF(E475="Y",B475*D475*Escalation!$B$2,0)</f>
        <v/>
      </c>
      <c r="L475">
        <f>IF(F475="Y",B475*D475*Escalation!$B$3,0)</f>
        <v/>
      </c>
      <c r="M475">
        <f>IF(G475="Y",B475*D475*Escalation!$B$4,0)</f>
        <v/>
      </c>
      <c r="N475">
        <f>IF(H475="Y",B475*D475*Escalation!$B$5,0)</f>
        <v/>
      </c>
      <c r="O475">
        <f>IF(I475="Y",B475*D475*Escalation!$B$6,0)</f>
        <v/>
      </c>
      <c r="P475">
        <f>IF(J475="Y",B475*D475*Escalation!$B$7,0)</f>
        <v/>
      </c>
      <c r="R475">
        <f>SUM(K475:P475)</f>
        <v/>
      </c>
    </row>
    <row r="476">
      <c r="K476">
        <f>IF(E476="Y",B476*D476*Escalation!$B$2,0)</f>
        <v/>
      </c>
      <c r="L476">
        <f>IF(F476="Y",B476*D476*Escalation!$B$3,0)</f>
        <v/>
      </c>
      <c r="M476">
        <f>IF(G476="Y",B476*D476*Escalation!$B$4,0)</f>
        <v/>
      </c>
      <c r="N476">
        <f>IF(H476="Y",B476*D476*Escalation!$B$5,0)</f>
        <v/>
      </c>
      <c r="O476">
        <f>IF(I476="Y",B476*D476*Escalation!$B$6,0)</f>
        <v/>
      </c>
      <c r="P476">
        <f>IF(J476="Y",B476*D476*Escalation!$B$7,0)</f>
        <v/>
      </c>
      <c r="R476">
        <f>SUM(K476:P476)</f>
        <v/>
      </c>
    </row>
    <row r="477">
      <c r="K477">
        <f>IF(E477="Y",B477*D477*Escalation!$B$2,0)</f>
        <v/>
      </c>
      <c r="L477">
        <f>IF(F477="Y",B477*D477*Escalation!$B$3,0)</f>
        <v/>
      </c>
      <c r="M477">
        <f>IF(G477="Y",B477*D477*Escalation!$B$4,0)</f>
        <v/>
      </c>
      <c r="N477">
        <f>IF(H477="Y",B477*D477*Escalation!$B$5,0)</f>
        <v/>
      </c>
      <c r="O477">
        <f>IF(I477="Y",B477*D477*Escalation!$B$6,0)</f>
        <v/>
      </c>
      <c r="P477">
        <f>IF(J477="Y",B477*D477*Escalation!$B$7,0)</f>
        <v/>
      </c>
      <c r="R477">
        <f>SUM(K477:P477)</f>
        <v/>
      </c>
    </row>
    <row r="478">
      <c r="K478">
        <f>IF(E478="Y",B478*D478*Escalation!$B$2,0)</f>
        <v/>
      </c>
      <c r="L478">
        <f>IF(F478="Y",B478*D478*Escalation!$B$3,0)</f>
        <v/>
      </c>
      <c r="M478">
        <f>IF(G478="Y",B478*D478*Escalation!$B$4,0)</f>
        <v/>
      </c>
      <c r="N478">
        <f>IF(H478="Y",B478*D478*Escalation!$B$5,0)</f>
        <v/>
      </c>
      <c r="O478">
        <f>IF(I478="Y",B478*D478*Escalation!$B$6,0)</f>
        <v/>
      </c>
      <c r="P478">
        <f>IF(J478="Y",B478*D478*Escalation!$B$7,0)</f>
        <v/>
      </c>
      <c r="R478">
        <f>SUM(K478:P478)</f>
        <v/>
      </c>
    </row>
    <row r="479">
      <c r="K479">
        <f>IF(E479="Y",B479*D479*Escalation!$B$2,0)</f>
        <v/>
      </c>
      <c r="L479">
        <f>IF(F479="Y",B479*D479*Escalation!$B$3,0)</f>
        <v/>
      </c>
      <c r="M479">
        <f>IF(G479="Y",B479*D479*Escalation!$B$4,0)</f>
        <v/>
      </c>
      <c r="N479">
        <f>IF(H479="Y",B479*D479*Escalation!$B$5,0)</f>
        <v/>
      </c>
      <c r="O479">
        <f>IF(I479="Y",B479*D479*Escalation!$B$6,0)</f>
        <v/>
      </c>
      <c r="P479">
        <f>IF(J479="Y",B479*D479*Escalation!$B$7,0)</f>
        <v/>
      </c>
      <c r="R479">
        <f>SUM(K479:P479)</f>
        <v/>
      </c>
    </row>
    <row r="480">
      <c r="K480">
        <f>IF(E480="Y",B480*D480*Escalation!$B$2,0)</f>
        <v/>
      </c>
      <c r="L480">
        <f>IF(F480="Y",B480*D480*Escalation!$B$3,0)</f>
        <v/>
      </c>
      <c r="M480">
        <f>IF(G480="Y",B480*D480*Escalation!$B$4,0)</f>
        <v/>
      </c>
      <c r="N480">
        <f>IF(H480="Y",B480*D480*Escalation!$B$5,0)</f>
        <v/>
      </c>
      <c r="O480">
        <f>IF(I480="Y",B480*D480*Escalation!$B$6,0)</f>
        <v/>
      </c>
      <c r="P480">
        <f>IF(J480="Y",B480*D480*Escalation!$B$7,0)</f>
        <v/>
      </c>
      <c r="R480">
        <f>SUM(K480:P480)</f>
        <v/>
      </c>
    </row>
    <row r="481">
      <c r="K481">
        <f>IF(E481="Y",B481*D481*Escalation!$B$2,0)</f>
        <v/>
      </c>
      <c r="L481">
        <f>IF(F481="Y",B481*D481*Escalation!$B$3,0)</f>
        <v/>
      </c>
      <c r="M481">
        <f>IF(G481="Y",B481*D481*Escalation!$B$4,0)</f>
        <v/>
      </c>
      <c r="N481">
        <f>IF(H481="Y",B481*D481*Escalation!$B$5,0)</f>
        <v/>
      </c>
      <c r="O481">
        <f>IF(I481="Y",B481*D481*Escalation!$B$6,0)</f>
        <v/>
      </c>
      <c r="P481">
        <f>IF(J481="Y",B481*D481*Escalation!$B$7,0)</f>
        <v/>
      </c>
      <c r="R481">
        <f>SUM(K481:P481)</f>
        <v/>
      </c>
    </row>
    <row r="482">
      <c r="K482">
        <f>IF(E482="Y",B482*D482*Escalation!$B$2,0)</f>
        <v/>
      </c>
      <c r="L482">
        <f>IF(F482="Y",B482*D482*Escalation!$B$3,0)</f>
        <v/>
      </c>
      <c r="M482">
        <f>IF(G482="Y",B482*D482*Escalation!$B$4,0)</f>
        <v/>
      </c>
      <c r="N482">
        <f>IF(H482="Y",B482*D482*Escalation!$B$5,0)</f>
        <v/>
      </c>
      <c r="O482">
        <f>IF(I482="Y",B482*D482*Escalation!$B$6,0)</f>
        <v/>
      </c>
      <c r="P482">
        <f>IF(J482="Y",B482*D482*Escalation!$B$7,0)</f>
        <v/>
      </c>
      <c r="R482">
        <f>SUM(K482:P482)</f>
        <v/>
      </c>
    </row>
    <row r="483">
      <c r="K483">
        <f>IF(E483="Y",B483*D483*Escalation!$B$2,0)</f>
        <v/>
      </c>
      <c r="L483">
        <f>IF(F483="Y",B483*D483*Escalation!$B$3,0)</f>
        <v/>
      </c>
      <c r="M483">
        <f>IF(G483="Y",B483*D483*Escalation!$B$4,0)</f>
        <v/>
      </c>
      <c r="N483">
        <f>IF(H483="Y",B483*D483*Escalation!$B$5,0)</f>
        <v/>
      </c>
      <c r="O483">
        <f>IF(I483="Y",B483*D483*Escalation!$B$6,0)</f>
        <v/>
      </c>
      <c r="P483">
        <f>IF(J483="Y",B483*D483*Escalation!$B$7,0)</f>
        <v/>
      </c>
      <c r="R483">
        <f>SUM(K483:P483)</f>
        <v/>
      </c>
    </row>
    <row r="484">
      <c r="K484">
        <f>IF(E484="Y",B484*D484*Escalation!$B$2,0)</f>
        <v/>
      </c>
      <c r="L484">
        <f>IF(F484="Y",B484*D484*Escalation!$B$3,0)</f>
        <v/>
      </c>
      <c r="M484">
        <f>IF(G484="Y",B484*D484*Escalation!$B$4,0)</f>
        <v/>
      </c>
      <c r="N484">
        <f>IF(H484="Y",B484*D484*Escalation!$B$5,0)</f>
        <v/>
      </c>
      <c r="O484">
        <f>IF(I484="Y",B484*D484*Escalation!$B$6,0)</f>
        <v/>
      </c>
      <c r="P484">
        <f>IF(J484="Y",B484*D484*Escalation!$B$7,0)</f>
        <v/>
      </c>
      <c r="R484">
        <f>SUM(K484:P484)</f>
        <v/>
      </c>
    </row>
    <row r="485">
      <c r="K485">
        <f>IF(E485="Y",B485*D485*Escalation!$B$2,0)</f>
        <v/>
      </c>
      <c r="L485">
        <f>IF(F485="Y",B485*D485*Escalation!$B$3,0)</f>
        <v/>
      </c>
      <c r="M485">
        <f>IF(G485="Y",B485*D485*Escalation!$B$4,0)</f>
        <v/>
      </c>
      <c r="N485">
        <f>IF(H485="Y",B485*D485*Escalation!$B$5,0)</f>
        <v/>
      </c>
      <c r="O485">
        <f>IF(I485="Y",B485*D485*Escalation!$B$6,0)</f>
        <v/>
      </c>
      <c r="P485">
        <f>IF(J485="Y",B485*D485*Escalation!$B$7,0)</f>
        <v/>
      </c>
      <c r="R485">
        <f>SUM(K485:P485)</f>
        <v/>
      </c>
    </row>
    <row r="486">
      <c r="K486">
        <f>IF(E486="Y",B486*D486*Escalation!$B$2,0)</f>
        <v/>
      </c>
      <c r="L486">
        <f>IF(F486="Y",B486*D486*Escalation!$B$3,0)</f>
        <v/>
      </c>
      <c r="M486">
        <f>IF(G486="Y",B486*D486*Escalation!$B$4,0)</f>
        <v/>
      </c>
      <c r="N486">
        <f>IF(H486="Y",B486*D486*Escalation!$B$5,0)</f>
        <v/>
      </c>
      <c r="O486">
        <f>IF(I486="Y",B486*D486*Escalation!$B$6,0)</f>
        <v/>
      </c>
      <c r="P486">
        <f>IF(J486="Y",B486*D486*Escalation!$B$7,0)</f>
        <v/>
      </c>
      <c r="R486">
        <f>SUM(K486:P486)</f>
        <v/>
      </c>
    </row>
    <row r="487">
      <c r="K487">
        <f>IF(E487="Y",B487*D487*Escalation!$B$2,0)</f>
        <v/>
      </c>
      <c r="L487">
        <f>IF(F487="Y",B487*D487*Escalation!$B$3,0)</f>
        <v/>
      </c>
      <c r="M487">
        <f>IF(G487="Y",B487*D487*Escalation!$B$4,0)</f>
        <v/>
      </c>
      <c r="N487">
        <f>IF(H487="Y",B487*D487*Escalation!$B$5,0)</f>
        <v/>
      </c>
      <c r="O487">
        <f>IF(I487="Y",B487*D487*Escalation!$B$6,0)</f>
        <v/>
      </c>
      <c r="P487">
        <f>IF(J487="Y",B487*D487*Escalation!$B$7,0)</f>
        <v/>
      </c>
      <c r="R487">
        <f>SUM(K487:P487)</f>
        <v/>
      </c>
    </row>
    <row r="488">
      <c r="K488">
        <f>IF(E488="Y",B488*D488*Escalation!$B$2,0)</f>
        <v/>
      </c>
      <c r="L488">
        <f>IF(F488="Y",B488*D488*Escalation!$B$3,0)</f>
        <v/>
      </c>
      <c r="M488">
        <f>IF(G488="Y",B488*D488*Escalation!$B$4,0)</f>
        <v/>
      </c>
      <c r="N488">
        <f>IF(H488="Y",B488*D488*Escalation!$B$5,0)</f>
        <v/>
      </c>
      <c r="O488">
        <f>IF(I488="Y",B488*D488*Escalation!$B$6,0)</f>
        <v/>
      </c>
      <c r="P488">
        <f>IF(J488="Y",B488*D488*Escalation!$B$7,0)</f>
        <v/>
      </c>
      <c r="R488">
        <f>SUM(K488:P488)</f>
        <v/>
      </c>
    </row>
    <row r="489">
      <c r="K489">
        <f>IF(E489="Y",B489*D489*Escalation!$B$2,0)</f>
        <v/>
      </c>
      <c r="L489">
        <f>IF(F489="Y",B489*D489*Escalation!$B$3,0)</f>
        <v/>
      </c>
      <c r="M489">
        <f>IF(G489="Y",B489*D489*Escalation!$B$4,0)</f>
        <v/>
      </c>
      <c r="N489">
        <f>IF(H489="Y",B489*D489*Escalation!$B$5,0)</f>
        <v/>
      </c>
      <c r="O489">
        <f>IF(I489="Y",B489*D489*Escalation!$B$6,0)</f>
        <v/>
      </c>
      <c r="P489">
        <f>IF(J489="Y",B489*D489*Escalation!$B$7,0)</f>
        <v/>
      </c>
      <c r="R489">
        <f>SUM(K489:P489)</f>
        <v/>
      </c>
    </row>
    <row r="490">
      <c r="K490">
        <f>IF(E490="Y",B490*D490*Escalation!$B$2,0)</f>
        <v/>
      </c>
      <c r="L490">
        <f>IF(F490="Y",B490*D490*Escalation!$B$3,0)</f>
        <v/>
      </c>
      <c r="M490">
        <f>IF(G490="Y",B490*D490*Escalation!$B$4,0)</f>
        <v/>
      </c>
      <c r="N490">
        <f>IF(H490="Y",B490*D490*Escalation!$B$5,0)</f>
        <v/>
      </c>
      <c r="O490">
        <f>IF(I490="Y",B490*D490*Escalation!$B$6,0)</f>
        <v/>
      </c>
      <c r="P490">
        <f>IF(J490="Y",B490*D490*Escalation!$B$7,0)</f>
        <v/>
      </c>
      <c r="R490">
        <f>SUM(K490:P490)</f>
        <v/>
      </c>
    </row>
    <row r="491">
      <c r="K491">
        <f>IF(E491="Y",B491*D491*Escalation!$B$2,0)</f>
        <v/>
      </c>
      <c r="L491">
        <f>IF(F491="Y",B491*D491*Escalation!$B$3,0)</f>
        <v/>
      </c>
      <c r="M491">
        <f>IF(G491="Y",B491*D491*Escalation!$B$4,0)</f>
        <v/>
      </c>
      <c r="N491">
        <f>IF(H491="Y",B491*D491*Escalation!$B$5,0)</f>
        <v/>
      </c>
      <c r="O491">
        <f>IF(I491="Y",B491*D491*Escalation!$B$6,0)</f>
        <v/>
      </c>
      <c r="P491">
        <f>IF(J491="Y",B491*D491*Escalation!$B$7,0)</f>
        <v/>
      </c>
      <c r="R491">
        <f>SUM(K491:P491)</f>
        <v/>
      </c>
    </row>
    <row r="492">
      <c r="K492">
        <f>IF(E492="Y",B492*D492*Escalation!$B$2,0)</f>
        <v/>
      </c>
      <c r="L492">
        <f>IF(F492="Y",B492*D492*Escalation!$B$3,0)</f>
        <v/>
      </c>
      <c r="M492">
        <f>IF(G492="Y",B492*D492*Escalation!$B$4,0)</f>
        <v/>
      </c>
      <c r="N492">
        <f>IF(H492="Y",B492*D492*Escalation!$B$5,0)</f>
        <v/>
      </c>
      <c r="O492">
        <f>IF(I492="Y",B492*D492*Escalation!$B$6,0)</f>
        <v/>
      </c>
      <c r="P492">
        <f>IF(J492="Y",B492*D492*Escalation!$B$7,0)</f>
        <v/>
      </c>
      <c r="R492">
        <f>SUM(K492:P492)</f>
        <v/>
      </c>
    </row>
    <row r="493">
      <c r="K493">
        <f>IF(E493="Y",B493*D493*Escalation!$B$2,0)</f>
        <v/>
      </c>
      <c r="L493">
        <f>IF(F493="Y",B493*D493*Escalation!$B$3,0)</f>
        <v/>
      </c>
      <c r="M493">
        <f>IF(G493="Y",B493*D493*Escalation!$B$4,0)</f>
        <v/>
      </c>
      <c r="N493">
        <f>IF(H493="Y",B493*D493*Escalation!$B$5,0)</f>
        <v/>
      </c>
      <c r="O493">
        <f>IF(I493="Y",B493*D493*Escalation!$B$6,0)</f>
        <v/>
      </c>
      <c r="P493">
        <f>IF(J493="Y",B493*D493*Escalation!$B$7,0)</f>
        <v/>
      </c>
      <c r="R493">
        <f>SUM(K493:P493)</f>
        <v/>
      </c>
    </row>
    <row r="494">
      <c r="K494">
        <f>IF(E494="Y",B494*D494*Escalation!$B$2,0)</f>
        <v/>
      </c>
      <c r="L494">
        <f>IF(F494="Y",B494*D494*Escalation!$B$3,0)</f>
        <v/>
      </c>
      <c r="M494">
        <f>IF(G494="Y",B494*D494*Escalation!$B$4,0)</f>
        <v/>
      </c>
      <c r="N494">
        <f>IF(H494="Y",B494*D494*Escalation!$B$5,0)</f>
        <v/>
      </c>
      <c r="O494">
        <f>IF(I494="Y",B494*D494*Escalation!$B$6,0)</f>
        <v/>
      </c>
      <c r="P494">
        <f>IF(J494="Y",B494*D494*Escalation!$B$7,0)</f>
        <v/>
      </c>
      <c r="R494">
        <f>SUM(K494:P494)</f>
        <v/>
      </c>
    </row>
    <row r="495">
      <c r="K495">
        <f>IF(E495="Y",B495*D495*Escalation!$B$2,0)</f>
        <v/>
      </c>
      <c r="L495">
        <f>IF(F495="Y",B495*D495*Escalation!$B$3,0)</f>
        <v/>
      </c>
      <c r="M495">
        <f>IF(G495="Y",B495*D495*Escalation!$B$4,0)</f>
        <v/>
      </c>
      <c r="N495">
        <f>IF(H495="Y",B495*D495*Escalation!$B$5,0)</f>
        <v/>
      </c>
      <c r="O495">
        <f>IF(I495="Y",B495*D495*Escalation!$B$6,0)</f>
        <v/>
      </c>
      <c r="P495">
        <f>IF(J495="Y",B495*D495*Escalation!$B$7,0)</f>
        <v/>
      </c>
      <c r="R495">
        <f>SUM(K495:P495)</f>
        <v/>
      </c>
    </row>
    <row r="496">
      <c r="K496">
        <f>IF(E496="Y",B496*D496*Escalation!$B$2,0)</f>
        <v/>
      </c>
      <c r="L496">
        <f>IF(F496="Y",B496*D496*Escalation!$B$3,0)</f>
        <v/>
      </c>
      <c r="M496">
        <f>IF(G496="Y",B496*D496*Escalation!$B$4,0)</f>
        <v/>
      </c>
      <c r="N496">
        <f>IF(H496="Y",B496*D496*Escalation!$B$5,0)</f>
        <v/>
      </c>
      <c r="O496">
        <f>IF(I496="Y",B496*D496*Escalation!$B$6,0)</f>
        <v/>
      </c>
      <c r="P496">
        <f>IF(J496="Y",B496*D496*Escalation!$B$7,0)</f>
        <v/>
      </c>
      <c r="R496">
        <f>SUM(K496:P496)</f>
        <v/>
      </c>
    </row>
    <row r="497">
      <c r="K497">
        <f>IF(E497="Y",B497*D497*Escalation!$B$2,0)</f>
        <v/>
      </c>
      <c r="L497">
        <f>IF(F497="Y",B497*D497*Escalation!$B$3,0)</f>
        <v/>
      </c>
      <c r="M497">
        <f>IF(G497="Y",B497*D497*Escalation!$B$4,0)</f>
        <v/>
      </c>
      <c r="N497">
        <f>IF(H497="Y",B497*D497*Escalation!$B$5,0)</f>
        <v/>
      </c>
      <c r="O497">
        <f>IF(I497="Y",B497*D497*Escalation!$B$6,0)</f>
        <v/>
      </c>
      <c r="P497">
        <f>IF(J497="Y",B497*D497*Escalation!$B$7,0)</f>
        <v/>
      </c>
      <c r="R497">
        <f>SUM(K497:P497)</f>
        <v/>
      </c>
    </row>
    <row r="498">
      <c r="K498">
        <f>IF(E498="Y",B498*D498*Escalation!$B$2,0)</f>
        <v/>
      </c>
      <c r="L498">
        <f>IF(F498="Y",B498*D498*Escalation!$B$3,0)</f>
        <v/>
      </c>
      <c r="M498">
        <f>IF(G498="Y",B498*D498*Escalation!$B$4,0)</f>
        <v/>
      </c>
      <c r="N498">
        <f>IF(H498="Y",B498*D498*Escalation!$B$5,0)</f>
        <v/>
      </c>
      <c r="O498">
        <f>IF(I498="Y",B498*D498*Escalation!$B$6,0)</f>
        <v/>
      </c>
      <c r="P498">
        <f>IF(J498="Y",B498*D498*Escalation!$B$7,0)</f>
        <v/>
      </c>
      <c r="R498">
        <f>SUM(K498:P498)</f>
        <v/>
      </c>
    </row>
    <row r="499">
      <c r="K499">
        <f>IF(E499="Y",B499*D499*Escalation!$B$2,0)</f>
        <v/>
      </c>
      <c r="L499">
        <f>IF(F499="Y",B499*D499*Escalation!$B$3,0)</f>
        <v/>
      </c>
      <c r="M499">
        <f>IF(G499="Y",B499*D499*Escalation!$B$4,0)</f>
        <v/>
      </c>
      <c r="N499">
        <f>IF(H499="Y",B499*D499*Escalation!$B$5,0)</f>
        <v/>
      </c>
      <c r="O499">
        <f>IF(I499="Y",B499*D499*Escalation!$B$6,0)</f>
        <v/>
      </c>
      <c r="P499">
        <f>IF(J499="Y",B499*D499*Escalation!$B$7,0)</f>
        <v/>
      </c>
      <c r="R499">
        <f>SUM(K499:P499)</f>
        <v/>
      </c>
    </row>
    <row r="500">
      <c r="K500">
        <f>IF(E500="Y",B500*D500*Escalation!$B$2,0)</f>
        <v/>
      </c>
      <c r="L500">
        <f>IF(F500="Y",B500*D500*Escalation!$B$3,0)</f>
        <v/>
      </c>
      <c r="M500">
        <f>IF(G500="Y",B500*D500*Escalation!$B$4,0)</f>
        <v/>
      </c>
      <c r="N500">
        <f>IF(H500="Y",B500*D500*Escalation!$B$5,0)</f>
        <v/>
      </c>
      <c r="O500">
        <f>IF(I500="Y",B500*D500*Escalation!$B$6,0)</f>
        <v/>
      </c>
      <c r="P500">
        <f>IF(J500="Y",B500*D500*Escalation!$B$7,0)</f>
        <v/>
      </c>
      <c r="R500">
        <f>SUM(K500:P500)</f>
        <v/>
      </c>
    </row>
    <row r="501">
      <c r="K501">
        <f>IF(E501="Y",B501*D501*Escalation!$B$2,0)</f>
        <v/>
      </c>
      <c r="L501">
        <f>IF(F501="Y",B501*D501*Escalation!$B$3,0)</f>
        <v/>
      </c>
      <c r="M501">
        <f>IF(G501="Y",B501*D501*Escalation!$B$4,0)</f>
        <v/>
      </c>
      <c r="N501">
        <f>IF(H501="Y",B501*D501*Escalation!$B$5,0)</f>
        <v/>
      </c>
      <c r="O501">
        <f>IF(I501="Y",B501*D501*Escalation!$B$6,0)</f>
        <v/>
      </c>
      <c r="P501">
        <f>IF(J501="Y",B501*D501*Escalation!$B$7,0)</f>
        <v/>
      </c>
      <c r="R501">
        <f>SUM(K501:P501)</f>
        <v/>
      </c>
    </row>
  </sheetData>
  <dataValidations count="1">
    <dataValidation sqref="E2:J500" showErrorMessage="1" showInputMessage="1" allowBlank="1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Trip</t>
        </is>
      </c>
      <c r="B1" s="1" t="inlineStr">
        <is>
          <t>Travelers</t>
        </is>
      </c>
      <c r="C1" s="1" t="inlineStr">
        <is>
          <t>Days</t>
        </is>
      </c>
      <c r="D1" s="1" t="inlineStr">
        <is>
          <t>Airfare</t>
        </is>
      </c>
      <c r="E1" s="1" t="inlineStr">
        <is>
          <t>M&amp;IE_per_day</t>
        </is>
      </c>
      <c r="F1" s="1" t="inlineStr">
        <is>
          <t>Lodging_per_day</t>
        </is>
      </c>
      <c r="G1" s="1" t="inlineStr">
        <is>
          <t>Other</t>
        </is>
      </c>
      <c r="H1" s="1" t="inlineStr">
        <is>
          <t>Inc_Base</t>
        </is>
      </c>
      <c r="I1" s="1" t="inlineStr">
        <is>
          <t>Inc_OY1</t>
        </is>
      </c>
      <c r="J1" s="1" t="inlineStr">
        <is>
          <t>Inc_OY2</t>
        </is>
      </c>
      <c r="K1" s="1" t="inlineStr">
        <is>
          <t>Inc_OY3</t>
        </is>
      </c>
      <c r="L1" s="1" t="inlineStr">
        <is>
          <t>Inc_OY4</t>
        </is>
      </c>
      <c r="M1" s="1" t="inlineStr">
        <is>
          <t>Inc_OY5</t>
        </is>
      </c>
      <c r="N1" s="1" t="inlineStr">
        <is>
          <t>Base</t>
        </is>
      </c>
      <c r="O1" s="1" t="inlineStr">
        <is>
          <t>OY1</t>
        </is>
      </c>
      <c r="P1" s="1" t="inlineStr">
        <is>
          <t>OY2</t>
        </is>
      </c>
      <c r="Q1" s="1" t="inlineStr">
        <is>
          <t>OY3</t>
        </is>
      </c>
      <c r="R1" s="1" t="inlineStr">
        <is>
          <t>OY4</t>
        </is>
      </c>
      <c r="S1" s="1" t="inlineStr">
        <is>
          <t>OY5</t>
        </is>
      </c>
      <c r="T1" s="1" t="inlineStr">
        <is>
          <t>Total</t>
        </is>
      </c>
    </row>
    <row r="2">
      <c r="N2">
        <f>IF(H2="Y",(D2+C2*(E2+F2)+G2)*Escalation!$B$2,0)</f>
        <v/>
      </c>
      <c r="O2">
        <f>IF(I2="Y",(D2+C2*(E2+F2)+G2)*Escalation!$B$3,0)</f>
        <v/>
      </c>
      <c r="P2">
        <f>IF(J2="Y",(D2+C2*(E2+F2)+G2)*Escalation!$B$4,0)</f>
        <v/>
      </c>
      <c r="Q2">
        <f>IF(K2="Y",(D2+C2*(E2+F2)+G2)*Escalation!$B$5,0)</f>
        <v/>
      </c>
      <c r="R2">
        <f>IF(L2="Y",(D2+C2*(E2+F2)+G2)*Escalation!$B$6,0)</f>
        <v/>
      </c>
      <c r="S2">
        <f>IF(M2="Y",(D2+C2*(E2+F2)+G2)*Escalation!$B$7,0)</f>
        <v/>
      </c>
      <c r="T2">
        <f>SUM(N2:S2)</f>
        <v/>
      </c>
    </row>
    <row r="3">
      <c r="N3">
        <f>IF(H3="Y",(D3+C3*(E3+F3)+G3)*Escalation!$B$2,0)</f>
        <v/>
      </c>
      <c r="O3">
        <f>IF(I3="Y",(D3+C3*(E3+F3)+G3)*Escalation!$B$3,0)</f>
        <v/>
      </c>
      <c r="P3">
        <f>IF(J3="Y",(D3+C3*(E3+F3)+G3)*Escalation!$B$4,0)</f>
        <v/>
      </c>
      <c r="Q3">
        <f>IF(K3="Y",(D3+C3*(E3+F3)+G3)*Escalation!$B$5,0)</f>
        <v/>
      </c>
      <c r="R3">
        <f>IF(L3="Y",(D3+C3*(E3+F3)+G3)*Escalation!$B$6,0)</f>
        <v/>
      </c>
      <c r="S3">
        <f>IF(M3="Y",(D3+C3*(E3+F3)+G3)*Escalation!$B$7,0)</f>
        <v/>
      </c>
      <c r="T3">
        <f>SUM(N3:S3)</f>
        <v/>
      </c>
    </row>
    <row r="4">
      <c r="N4">
        <f>IF(H4="Y",(D4+C4*(E4+F4)+G4)*Escalation!$B$2,0)</f>
        <v/>
      </c>
      <c r="O4">
        <f>IF(I4="Y",(D4+C4*(E4+F4)+G4)*Escalation!$B$3,0)</f>
        <v/>
      </c>
      <c r="P4">
        <f>IF(J4="Y",(D4+C4*(E4+F4)+G4)*Escalation!$B$4,0)</f>
        <v/>
      </c>
      <c r="Q4">
        <f>IF(K4="Y",(D4+C4*(E4+F4)+G4)*Escalation!$B$5,0)</f>
        <v/>
      </c>
      <c r="R4">
        <f>IF(L4="Y",(D4+C4*(E4+F4)+G4)*Escalation!$B$6,0)</f>
        <v/>
      </c>
      <c r="S4">
        <f>IF(M4="Y",(D4+C4*(E4+F4)+G4)*Escalation!$B$7,0)</f>
        <v/>
      </c>
      <c r="T4">
        <f>SUM(N4:S4)</f>
        <v/>
      </c>
    </row>
    <row r="5">
      <c r="N5">
        <f>IF(H5="Y",(D5+C5*(E5+F5)+G5)*Escalation!$B$2,0)</f>
        <v/>
      </c>
      <c r="O5">
        <f>IF(I5="Y",(D5+C5*(E5+F5)+G5)*Escalation!$B$3,0)</f>
        <v/>
      </c>
      <c r="P5">
        <f>IF(J5="Y",(D5+C5*(E5+F5)+G5)*Escalation!$B$4,0)</f>
        <v/>
      </c>
      <c r="Q5">
        <f>IF(K5="Y",(D5+C5*(E5+F5)+G5)*Escalation!$B$5,0)</f>
        <v/>
      </c>
      <c r="R5">
        <f>IF(L5="Y",(D5+C5*(E5+F5)+G5)*Escalation!$B$6,0)</f>
        <v/>
      </c>
      <c r="S5">
        <f>IF(M5="Y",(D5+C5*(E5+F5)+G5)*Escalation!$B$7,0)</f>
        <v/>
      </c>
      <c r="T5">
        <f>SUM(N5:S5)</f>
        <v/>
      </c>
    </row>
    <row r="6">
      <c r="N6">
        <f>IF(H6="Y",(D6+C6*(E6+F6)+G6)*Escalation!$B$2,0)</f>
        <v/>
      </c>
      <c r="O6">
        <f>IF(I6="Y",(D6+C6*(E6+F6)+G6)*Escalation!$B$3,0)</f>
        <v/>
      </c>
      <c r="P6">
        <f>IF(J6="Y",(D6+C6*(E6+F6)+G6)*Escalation!$B$4,0)</f>
        <v/>
      </c>
      <c r="Q6">
        <f>IF(K6="Y",(D6+C6*(E6+F6)+G6)*Escalation!$B$5,0)</f>
        <v/>
      </c>
      <c r="R6">
        <f>IF(L6="Y",(D6+C6*(E6+F6)+G6)*Escalation!$B$6,0)</f>
        <v/>
      </c>
      <c r="S6">
        <f>IF(M6="Y",(D6+C6*(E6+F6)+G6)*Escalation!$B$7,0)</f>
        <v/>
      </c>
      <c r="T6">
        <f>SUM(N6:S6)</f>
        <v/>
      </c>
    </row>
    <row r="7">
      <c r="N7">
        <f>IF(H7="Y",(D7+C7*(E7+F7)+G7)*Escalation!$B$2,0)</f>
        <v/>
      </c>
      <c r="O7">
        <f>IF(I7="Y",(D7+C7*(E7+F7)+G7)*Escalation!$B$3,0)</f>
        <v/>
      </c>
      <c r="P7">
        <f>IF(J7="Y",(D7+C7*(E7+F7)+G7)*Escalation!$B$4,0)</f>
        <v/>
      </c>
      <c r="Q7">
        <f>IF(K7="Y",(D7+C7*(E7+F7)+G7)*Escalation!$B$5,0)</f>
        <v/>
      </c>
      <c r="R7">
        <f>IF(L7="Y",(D7+C7*(E7+F7)+G7)*Escalation!$B$6,0)</f>
        <v/>
      </c>
      <c r="S7">
        <f>IF(M7="Y",(D7+C7*(E7+F7)+G7)*Escalation!$B$7,0)</f>
        <v/>
      </c>
      <c r="T7">
        <f>SUM(N7:S7)</f>
        <v/>
      </c>
    </row>
    <row r="8">
      <c r="N8">
        <f>IF(H8="Y",(D8+C8*(E8+F8)+G8)*Escalation!$B$2,0)</f>
        <v/>
      </c>
      <c r="O8">
        <f>IF(I8="Y",(D8+C8*(E8+F8)+G8)*Escalation!$B$3,0)</f>
        <v/>
      </c>
      <c r="P8">
        <f>IF(J8="Y",(D8+C8*(E8+F8)+G8)*Escalation!$B$4,0)</f>
        <v/>
      </c>
      <c r="Q8">
        <f>IF(K8="Y",(D8+C8*(E8+F8)+G8)*Escalation!$B$5,0)</f>
        <v/>
      </c>
      <c r="R8">
        <f>IF(L8="Y",(D8+C8*(E8+F8)+G8)*Escalation!$B$6,0)</f>
        <v/>
      </c>
      <c r="S8">
        <f>IF(M8="Y",(D8+C8*(E8+F8)+G8)*Escalation!$B$7,0)</f>
        <v/>
      </c>
      <c r="T8">
        <f>SUM(N8:S8)</f>
        <v/>
      </c>
    </row>
    <row r="9">
      <c r="N9">
        <f>IF(H9="Y",(D9+C9*(E9+F9)+G9)*Escalation!$B$2,0)</f>
        <v/>
      </c>
      <c r="O9">
        <f>IF(I9="Y",(D9+C9*(E9+F9)+G9)*Escalation!$B$3,0)</f>
        <v/>
      </c>
      <c r="P9">
        <f>IF(J9="Y",(D9+C9*(E9+F9)+G9)*Escalation!$B$4,0)</f>
        <v/>
      </c>
      <c r="Q9">
        <f>IF(K9="Y",(D9+C9*(E9+F9)+G9)*Escalation!$B$5,0)</f>
        <v/>
      </c>
      <c r="R9">
        <f>IF(L9="Y",(D9+C9*(E9+F9)+G9)*Escalation!$B$6,0)</f>
        <v/>
      </c>
      <c r="S9">
        <f>IF(M9="Y",(D9+C9*(E9+F9)+G9)*Escalation!$B$7,0)</f>
        <v/>
      </c>
      <c r="T9">
        <f>SUM(N9:S9)</f>
        <v/>
      </c>
    </row>
    <row r="10">
      <c r="N10">
        <f>IF(H10="Y",(D10+C10*(E10+F10)+G10)*Escalation!$B$2,0)</f>
        <v/>
      </c>
      <c r="O10">
        <f>IF(I10="Y",(D10+C10*(E10+F10)+G10)*Escalation!$B$3,0)</f>
        <v/>
      </c>
      <c r="P10">
        <f>IF(J10="Y",(D10+C10*(E10+F10)+G10)*Escalation!$B$4,0)</f>
        <v/>
      </c>
      <c r="Q10">
        <f>IF(K10="Y",(D10+C10*(E10+F10)+G10)*Escalation!$B$5,0)</f>
        <v/>
      </c>
      <c r="R10">
        <f>IF(L10="Y",(D10+C10*(E10+F10)+G10)*Escalation!$B$6,0)</f>
        <v/>
      </c>
      <c r="S10">
        <f>IF(M10="Y",(D10+C10*(E10+F10)+G10)*Escalation!$B$7,0)</f>
        <v/>
      </c>
      <c r="T10">
        <f>SUM(N10:S10)</f>
        <v/>
      </c>
    </row>
    <row r="11">
      <c r="N11">
        <f>IF(H11="Y",(D11+C11*(E11+F11)+G11)*Escalation!$B$2,0)</f>
        <v/>
      </c>
      <c r="O11">
        <f>IF(I11="Y",(D11+C11*(E11+F11)+G11)*Escalation!$B$3,0)</f>
        <v/>
      </c>
      <c r="P11">
        <f>IF(J11="Y",(D11+C11*(E11+F11)+G11)*Escalation!$B$4,0)</f>
        <v/>
      </c>
      <c r="Q11">
        <f>IF(K11="Y",(D11+C11*(E11+F11)+G11)*Escalation!$B$5,0)</f>
        <v/>
      </c>
      <c r="R11">
        <f>IF(L11="Y",(D11+C11*(E11+F11)+G11)*Escalation!$B$6,0)</f>
        <v/>
      </c>
      <c r="S11">
        <f>IF(M11="Y",(D11+C11*(E11+F11)+G11)*Escalation!$B$7,0)</f>
        <v/>
      </c>
      <c r="T11">
        <f>SUM(N11:S11)</f>
        <v/>
      </c>
    </row>
    <row r="12">
      <c r="N12">
        <f>IF(H12="Y",(D12+C12*(E12+F12)+G12)*Escalation!$B$2,0)</f>
        <v/>
      </c>
      <c r="O12">
        <f>IF(I12="Y",(D12+C12*(E12+F12)+G12)*Escalation!$B$3,0)</f>
        <v/>
      </c>
      <c r="P12">
        <f>IF(J12="Y",(D12+C12*(E12+F12)+G12)*Escalation!$B$4,0)</f>
        <v/>
      </c>
      <c r="Q12">
        <f>IF(K12="Y",(D12+C12*(E12+F12)+G12)*Escalation!$B$5,0)</f>
        <v/>
      </c>
      <c r="R12">
        <f>IF(L12="Y",(D12+C12*(E12+F12)+G12)*Escalation!$B$6,0)</f>
        <v/>
      </c>
      <c r="S12">
        <f>IF(M12="Y",(D12+C12*(E12+F12)+G12)*Escalation!$B$7,0)</f>
        <v/>
      </c>
      <c r="T12">
        <f>SUM(N12:S12)</f>
        <v/>
      </c>
    </row>
    <row r="13">
      <c r="N13">
        <f>IF(H13="Y",(D13+C13*(E13+F13)+G13)*Escalation!$B$2,0)</f>
        <v/>
      </c>
      <c r="O13">
        <f>IF(I13="Y",(D13+C13*(E13+F13)+G13)*Escalation!$B$3,0)</f>
        <v/>
      </c>
      <c r="P13">
        <f>IF(J13="Y",(D13+C13*(E13+F13)+G13)*Escalation!$B$4,0)</f>
        <v/>
      </c>
      <c r="Q13">
        <f>IF(K13="Y",(D13+C13*(E13+F13)+G13)*Escalation!$B$5,0)</f>
        <v/>
      </c>
      <c r="R13">
        <f>IF(L13="Y",(D13+C13*(E13+F13)+G13)*Escalation!$B$6,0)</f>
        <v/>
      </c>
      <c r="S13">
        <f>IF(M13="Y",(D13+C13*(E13+F13)+G13)*Escalation!$B$7,0)</f>
        <v/>
      </c>
      <c r="T13">
        <f>SUM(N13:S13)</f>
        <v/>
      </c>
    </row>
    <row r="14">
      <c r="N14">
        <f>IF(H14="Y",(D14+C14*(E14+F14)+G14)*Escalation!$B$2,0)</f>
        <v/>
      </c>
      <c r="O14">
        <f>IF(I14="Y",(D14+C14*(E14+F14)+G14)*Escalation!$B$3,0)</f>
        <v/>
      </c>
      <c r="P14">
        <f>IF(J14="Y",(D14+C14*(E14+F14)+G14)*Escalation!$B$4,0)</f>
        <v/>
      </c>
      <c r="Q14">
        <f>IF(K14="Y",(D14+C14*(E14+F14)+G14)*Escalation!$B$5,0)</f>
        <v/>
      </c>
      <c r="R14">
        <f>IF(L14="Y",(D14+C14*(E14+F14)+G14)*Escalation!$B$6,0)</f>
        <v/>
      </c>
      <c r="S14">
        <f>IF(M14="Y",(D14+C14*(E14+F14)+G14)*Escalation!$B$7,0)</f>
        <v/>
      </c>
      <c r="T14">
        <f>SUM(N14:S14)</f>
        <v/>
      </c>
    </row>
    <row r="15">
      <c r="N15">
        <f>IF(H15="Y",(D15+C15*(E15+F15)+G15)*Escalation!$B$2,0)</f>
        <v/>
      </c>
      <c r="O15">
        <f>IF(I15="Y",(D15+C15*(E15+F15)+G15)*Escalation!$B$3,0)</f>
        <v/>
      </c>
      <c r="P15">
        <f>IF(J15="Y",(D15+C15*(E15+F15)+G15)*Escalation!$B$4,0)</f>
        <v/>
      </c>
      <c r="Q15">
        <f>IF(K15="Y",(D15+C15*(E15+F15)+G15)*Escalation!$B$5,0)</f>
        <v/>
      </c>
      <c r="R15">
        <f>IF(L15="Y",(D15+C15*(E15+F15)+G15)*Escalation!$B$6,0)</f>
        <v/>
      </c>
      <c r="S15">
        <f>IF(M15="Y",(D15+C15*(E15+F15)+G15)*Escalation!$B$7,0)</f>
        <v/>
      </c>
      <c r="T15">
        <f>SUM(N15:S15)</f>
        <v/>
      </c>
    </row>
    <row r="16">
      <c r="N16">
        <f>IF(H16="Y",(D16+C16*(E16+F16)+G16)*Escalation!$B$2,0)</f>
        <v/>
      </c>
      <c r="O16">
        <f>IF(I16="Y",(D16+C16*(E16+F16)+G16)*Escalation!$B$3,0)</f>
        <v/>
      </c>
      <c r="P16">
        <f>IF(J16="Y",(D16+C16*(E16+F16)+G16)*Escalation!$B$4,0)</f>
        <v/>
      </c>
      <c r="Q16">
        <f>IF(K16="Y",(D16+C16*(E16+F16)+G16)*Escalation!$B$5,0)</f>
        <v/>
      </c>
      <c r="R16">
        <f>IF(L16="Y",(D16+C16*(E16+F16)+G16)*Escalation!$B$6,0)</f>
        <v/>
      </c>
      <c r="S16">
        <f>IF(M16="Y",(D16+C16*(E16+F16)+G16)*Escalation!$B$7,0)</f>
        <v/>
      </c>
      <c r="T16">
        <f>SUM(N16:S16)</f>
        <v/>
      </c>
    </row>
    <row r="17">
      <c r="N17">
        <f>IF(H17="Y",(D17+C17*(E17+F17)+G17)*Escalation!$B$2,0)</f>
        <v/>
      </c>
      <c r="O17">
        <f>IF(I17="Y",(D17+C17*(E17+F17)+G17)*Escalation!$B$3,0)</f>
        <v/>
      </c>
      <c r="P17">
        <f>IF(J17="Y",(D17+C17*(E17+F17)+G17)*Escalation!$B$4,0)</f>
        <v/>
      </c>
      <c r="Q17">
        <f>IF(K17="Y",(D17+C17*(E17+F17)+G17)*Escalation!$B$5,0)</f>
        <v/>
      </c>
      <c r="R17">
        <f>IF(L17="Y",(D17+C17*(E17+F17)+G17)*Escalation!$B$6,0)</f>
        <v/>
      </c>
      <c r="S17">
        <f>IF(M17="Y",(D17+C17*(E17+F17)+G17)*Escalation!$B$7,0)</f>
        <v/>
      </c>
      <c r="T17">
        <f>SUM(N17:S17)</f>
        <v/>
      </c>
    </row>
    <row r="18">
      <c r="N18">
        <f>IF(H18="Y",(D18+C18*(E18+F18)+G18)*Escalation!$B$2,0)</f>
        <v/>
      </c>
      <c r="O18">
        <f>IF(I18="Y",(D18+C18*(E18+F18)+G18)*Escalation!$B$3,0)</f>
        <v/>
      </c>
      <c r="P18">
        <f>IF(J18="Y",(D18+C18*(E18+F18)+G18)*Escalation!$B$4,0)</f>
        <v/>
      </c>
      <c r="Q18">
        <f>IF(K18="Y",(D18+C18*(E18+F18)+G18)*Escalation!$B$5,0)</f>
        <v/>
      </c>
      <c r="R18">
        <f>IF(L18="Y",(D18+C18*(E18+F18)+G18)*Escalation!$B$6,0)</f>
        <v/>
      </c>
      <c r="S18">
        <f>IF(M18="Y",(D18+C18*(E18+F18)+G18)*Escalation!$B$7,0)</f>
        <v/>
      </c>
      <c r="T18">
        <f>SUM(N18:S18)</f>
        <v/>
      </c>
    </row>
    <row r="19">
      <c r="N19">
        <f>IF(H19="Y",(D19+C19*(E19+F19)+G19)*Escalation!$B$2,0)</f>
        <v/>
      </c>
      <c r="O19">
        <f>IF(I19="Y",(D19+C19*(E19+F19)+G19)*Escalation!$B$3,0)</f>
        <v/>
      </c>
      <c r="P19">
        <f>IF(J19="Y",(D19+C19*(E19+F19)+G19)*Escalation!$B$4,0)</f>
        <v/>
      </c>
      <c r="Q19">
        <f>IF(K19="Y",(D19+C19*(E19+F19)+G19)*Escalation!$B$5,0)</f>
        <v/>
      </c>
      <c r="R19">
        <f>IF(L19="Y",(D19+C19*(E19+F19)+G19)*Escalation!$B$6,0)</f>
        <v/>
      </c>
      <c r="S19">
        <f>IF(M19="Y",(D19+C19*(E19+F19)+G19)*Escalation!$B$7,0)</f>
        <v/>
      </c>
      <c r="T19">
        <f>SUM(N19:S19)</f>
        <v/>
      </c>
    </row>
    <row r="20">
      <c r="N20">
        <f>IF(H20="Y",(D20+C20*(E20+F20)+G20)*Escalation!$B$2,0)</f>
        <v/>
      </c>
      <c r="O20">
        <f>IF(I20="Y",(D20+C20*(E20+F20)+G20)*Escalation!$B$3,0)</f>
        <v/>
      </c>
      <c r="P20">
        <f>IF(J20="Y",(D20+C20*(E20+F20)+G20)*Escalation!$B$4,0)</f>
        <v/>
      </c>
      <c r="Q20">
        <f>IF(K20="Y",(D20+C20*(E20+F20)+G20)*Escalation!$B$5,0)</f>
        <v/>
      </c>
      <c r="R20">
        <f>IF(L20="Y",(D20+C20*(E20+F20)+G20)*Escalation!$B$6,0)</f>
        <v/>
      </c>
      <c r="S20">
        <f>IF(M20="Y",(D20+C20*(E20+F20)+G20)*Escalation!$B$7,0)</f>
        <v/>
      </c>
      <c r="T20">
        <f>SUM(N20:S20)</f>
        <v/>
      </c>
    </row>
    <row r="21">
      <c r="N21">
        <f>IF(H21="Y",(D21+C21*(E21+F21)+G21)*Escalation!$B$2,0)</f>
        <v/>
      </c>
      <c r="O21">
        <f>IF(I21="Y",(D21+C21*(E21+F21)+G21)*Escalation!$B$3,0)</f>
        <v/>
      </c>
      <c r="P21">
        <f>IF(J21="Y",(D21+C21*(E21+F21)+G21)*Escalation!$B$4,0)</f>
        <v/>
      </c>
      <c r="Q21">
        <f>IF(K21="Y",(D21+C21*(E21+F21)+G21)*Escalation!$B$5,0)</f>
        <v/>
      </c>
      <c r="R21">
        <f>IF(L21="Y",(D21+C21*(E21+F21)+G21)*Escalation!$B$6,0)</f>
        <v/>
      </c>
      <c r="S21">
        <f>IF(M21="Y",(D21+C21*(E21+F21)+G21)*Escalation!$B$7,0)</f>
        <v/>
      </c>
      <c r="T21">
        <f>SUM(N21:S21)</f>
        <v/>
      </c>
    </row>
    <row r="22">
      <c r="N22">
        <f>IF(H22="Y",(D22+C22*(E22+F22)+G22)*Escalation!$B$2,0)</f>
        <v/>
      </c>
      <c r="O22">
        <f>IF(I22="Y",(D22+C22*(E22+F22)+G22)*Escalation!$B$3,0)</f>
        <v/>
      </c>
      <c r="P22">
        <f>IF(J22="Y",(D22+C22*(E22+F22)+G22)*Escalation!$B$4,0)</f>
        <v/>
      </c>
      <c r="Q22">
        <f>IF(K22="Y",(D22+C22*(E22+F22)+G22)*Escalation!$B$5,0)</f>
        <v/>
      </c>
      <c r="R22">
        <f>IF(L22="Y",(D22+C22*(E22+F22)+G22)*Escalation!$B$6,0)</f>
        <v/>
      </c>
      <c r="S22">
        <f>IF(M22="Y",(D22+C22*(E22+F22)+G22)*Escalation!$B$7,0)</f>
        <v/>
      </c>
      <c r="T22">
        <f>SUM(N22:S22)</f>
        <v/>
      </c>
    </row>
    <row r="23">
      <c r="N23">
        <f>IF(H23="Y",(D23+C23*(E23+F23)+G23)*Escalation!$B$2,0)</f>
        <v/>
      </c>
      <c r="O23">
        <f>IF(I23="Y",(D23+C23*(E23+F23)+G23)*Escalation!$B$3,0)</f>
        <v/>
      </c>
      <c r="P23">
        <f>IF(J23="Y",(D23+C23*(E23+F23)+G23)*Escalation!$B$4,0)</f>
        <v/>
      </c>
      <c r="Q23">
        <f>IF(K23="Y",(D23+C23*(E23+F23)+G23)*Escalation!$B$5,0)</f>
        <v/>
      </c>
      <c r="R23">
        <f>IF(L23="Y",(D23+C23*(E23+F23)+G23)*Escalation!$B$6,0)</f>
        <v/>
      </c>
      <c r="S23">
        <f>IF(M23="Y",(D23+C23*(E23+F23)+G23)*Escalation!$B$7,0)</f>
        <v/>
      </c>
      <c r="T23">
        <f>SUM(N23:S23)</f>
        <v/>
      </c>
    </row>
    <row r="24">
      <c r="N24">
        <f>IF(H24="Y",(D24+C24*(E24+F24)+G24)*Escalation!$B$2,0)</f>
        <v/>
      </c>
      <c r="O24">
        <f>IF(I24="Y",(D24+C24*(E24+F24)+G24)*Escalation!$B$3,0)</f>
        <v/>
      </c>
      <c r="P24">
        <f>IF(J24="Y",(D24+C24*(E24+F24)+G24)*Escalation!$B$4,0)</f>
        <v/>
      </c>
      <c r="Q24">
        <f>IF(K24="Y",(D24+C24*(E24+F24)+G24)*Escalation!$B$5,0)</f>
        <v/>
      </c>
      <c r="R24">
        <f>IF(L24="Y",(D24+C24*(E24+F24)+G24)*Escalation!$B$6,0)</f>
        <v/>
      </c>
      <c r="S24">
        <f>IF(M24="Y",(D24+C24*(E24+F24)+G24)*Escalation!$B$7,0)</f>
        <v/>
      </c>
      <c r="T24">
        <f>SUM(N24:S24)</f>
        <v/>
      </c>
    </row>
    <row r="25">
      <c r="N25">
        <f>IF(H25="Y",(D25+C25*(E25+F25)+G25)*Escalation!$B$2,0)</f>
        <v/>
      </c>
      <c r="O25">
        <f>IF(I25="Y",(D25+C25*(E25+F25)+G25)*Escalation!$B$3,0)</f>
        <v/>
      </c>
      <c r="P25">
        <f>IF(J25="Y",(D25+C25*(E25+F25)+G25)*Escalation!$B$4,0)</f>
        <v/>
      </c>
      <c r="Q25">
        <f>IF(K25="Y",(D25+C25*(E25+F25)+G25)*Escalation!$B$5,0)</f>
        <v/>
      </c>
      <c r="R25">
        <f>IF(L25="Y",(D25+C25*(E25+F25)+G25)*Escalation!$B$6,0)</f>
        <v/>
      </c>
      <c r="S25">
        <f>IF(M25="Y",(D25+C25*(E25+F25)+G25)*Escalation!$B$7,0)</f>
        <v/>
      </c>
      <c r="T25">
        <f>SUM(N25:S25)</f>
        <v/>
      </c>
    </row>
    <row r="26">
      <c r="N26">
        <f>IF(H26="Y",(D26+C26*(E26+F26)+G26)*Escalation!$B$2,0)</f>
        <v/>
      </c>
      <c r="O26">
        <f>IF(I26="Y",(D26+C26*(E26+F26)+G26)*Escalation!$B$3,0)</f>
        <v/>
      </c>
      <c r="P26">
        <f>IF(J26="Y",(D26+C26*(E26+F26)+G26)*Escalation!$B$4,0)</f>
        <v/>
      </c>
      <c r="Q26">
        <f>IF(K26="Y",(D26+C26*(E26+F26)+G26)*Escalation!$B$5,0)</f>
        <v/>
      </c>
      <c r="R26">
        <f>IF(L26="Y",(D26+C26*(E26+F26)+G26)*Escalation!$B$6,0)</f>
        <v/>
      </c>
      <c r="S26">
        <f>IF(M26="Y",(D26+C26*(E26+F26)+G26)*Escalation!$B$7,0)</f>
        <v/>
      </c>
      <c r="T26">
        <f>SUM(N26:S26)</f>
        <v/>
      </c>
    </row>
    <row r="27">
      <c r="N27">
        <f>IF(H27="Y",(D27+C27*(E27+F27)+G27)*Escalation!$B$2,0)</f>
        <v/>
      </c>
      <c r="O27">
        <f>IF(I27="Y",(D27+C27*(E27+F27)+G27)*Escalation!$B$3,0)</f>
        <v/>
      </c>
      <c r="P27">
        <f>IF(J27="Y",(D27+C27*(E27+F27)+G27)*Escalation!$B$4,0)</f>
        <v/>
      </c>
      <c r="Q27">
        <f>IF(K27="Y",(D27+C27*(E27+F27)+G27)*Escalation!$B$5,0)</f>
        <v/>
      </c>
      <c r="R27">
        <f>IF(L27="Y",(D27+C27*(E27+F27)+G27)*Escalation!$B$6,0)</f>
        <v/>
      </c>
      <c r="S27">
        <f>IF(M27="Y",(D27+C27*(E27+F27)+G27)*Escalation!$B$7,0)</f>
        <v/>
      </c>
      <c r="T27">
        <f>SUM(N27:S27)</f>
        <v/>
      </c>
    </row>
    <row r="28">
      <c r="N28">
        <f>IF(H28="Y",(D28+C28*(E28+F28)+G28)*Escalation!$B$2,0)</f>
        <v/>
      </c>
      <c r="O28">
        <f>IF(I28="Y",(D28+C28*(E28+F28)+G28)*Escalation!$B$3,0)</f>
        <v/>
      </c>
      <c r="P28">
        <f>IF(J28="Y",(D28+C28*(E28+F28)+G28)*Escalation!$B$4,0)</f>
        <v/>
      </c>
      <c r="Q28">
        <f>IF(K28="Y",(D28+C28*(E28+F28)+G28)*Escalation!$B$5,0)</f>
        <v/>
      </c>
      <c r="R28">
        <f>IF(L28="Y",(D28+C28*(E28+F28)+G28)*Escalation!$B$6,0)</f>
        <v/>
      </c>
      <c r="S28">
        <f>IF(M28="Y",(D28+C28*(E28+F28)+G28)*Escalation!$B$7,0)</f>
        <v/>
      </c>
      <c r="T28">
        <f>SUM(N28:S28)</f>
        <v/>
      </c>
    </row>
    <row r="29">
      <c r="N29">
        <f>IF(H29="Y",(D29+C29*(E29+F29)+G29)*Escalation!$B$2,0)</f>
        <v/>
      </c>
      <c r="O29">
        <f>IF(I29="Y",(D29+C29*(E29+F29)+G29)*Escalation!$B$3,0)</f>
        <v/>
      </c>
      <c r="P29">
        <f>IF(J29="Y",(D29+C29*(E29+F29)+G29)*Escalation!$B$4,0)</f>
        <v/>
      </c>
      <c r="Q29">
        <f>IF(K29="Y",(D29+C29*(E29+F29)+G29)*Escalation!$B$5,0)</f>
        <v/>
      </c>
      <c r="R29">
        <f>IF(L29="Y",(D29+C29*(E29+F29)+G29)*Escalation!$B$6,0)</f>
        <v/>
      </c>
      <c r="S29">
        <f>IF(M29="Y",(D29+C29*(E29+F29)+G29)*Escalation!$B$7,0)</f>
        <v/>
      </c>
      <c r="T29">
        <f>SUM(N29:S29)</f>
        <v/>
      </c>
    </row>
    <row r="30">
      <c r="N30">
        <f>IF(H30="Y",(D30+C30*(E30+F30)+G30)*Escalation!$B$2,0)</f>
        <v/>
      </c>
      <c r="O30">
        <f>IF(I30="Y",(D30+C30*(E30+F30)+G30)*Escalation!$B$3,0)</f>
        <v/>
      </c>
      <c r="P30">
        <f>IF(J30="Y",(D30+C30*(E30+F30)+G30)*Escalation!$B$4,0)</f>
        <v/>
      </c>
      <c r="Q30">
        <f>IF(K30="Y",(D30+C30*(E30+F30)+G30)*Escalation!$B$5,0)</f>
        <v/>
      </c>
      <c r="R30">
        <f>IF(L30="Y",(D30+C30*(E30+F30)+G30)*Escalation!$B$6,0)</f>
        <v/>
      </c>
      <c r="S30">
        <f>IF(M30="Y",(D30+C30*(E30+F30)+G30)*Escalation!$B$7,0)</f>
        <v/>
      </c>
      <c r="T30">
        <f>SUM(N30:S30)</f>
        <v/>
      </c>
    </row>
    <row r="31">
      <c r="N31">
        <f>IF(H31="Y",(D31+C31*(E31+F31)+G31)*Escalation!$B$2,0)</f>
        <v/>
      </c>
      <c r="O31">
        <f>IF(I31="Y",(D31+C31*(E31+F31)+G31)*Escalation!$B$3,0)</f>
        <v/>
      </c>
      <c r="P31">
        <f>IF(J31="Y",(D31+C31*(E31+F31)+G31)*Escalation!$B$4,0)</f>
        <v/>
      </c>
      <c r="Q31">
        <f>IF(K31="Y",(D31+C31*(E31+F31)+G31)*Escalation!$B$5,0)</f>
        <v/>
      </c>
      <c r="R31">
        <f>IF(L31="Y",(D31+C31*(E31+F31)+G31)*Escalation!$B$6,0)</f>
        <v/>
      </c>
      <c r="S31">
        <f>IF(M31="Y",(D31+C31*(E31+F31)+G31)*Escalation!$B$7,0)</f>
        <v/>
      </c>
      <c r="T31">
        <f>SUM(N31:S31)</f>
        <v/>
      </c>
    </row>
    <row r="32">
      <c r="N32">
        <f>IF(H32="Y",(D32+C32*(E32+F32)+G32)*Escalation!$B$2,0)</f>
        <v/>
      </c>
      <c r="O32">
        <f>IF(I32="Y",(D32+C32*(E32+F32)+G32)*Escalation!$B$3,0)</f>
        <v/>
      </c>
      <c r="P32">
        <f>IF(J32="Y",(D32+C32*(E32+F32)+G32)*Escalation!$B$4,0)</f>
        <v/>
      </c>
      <c r="Q32">
        <f>IF(K32="Y",(D32+C32*(E32+F32)+G32)*Escalation!$B$5,0)</f>
        <v/>
      </c>
      <c r="R32">
        <f>IF(L32="Y",(D32+C32*(E32+F32)+G32)*Escalation!$B$6,0)</f>
        <v/>
      </c>
      <c r="S32">
        <f>IF(M32="Y",(D32+C32*(E32+F32)+G32)*Escalation!$B$7,0)</f>
        <v/>
      </c>
      <c r="T32">
        <f>SUM(N32:S32)</f>
        <v/>
      </c>
    </row>
    <row r="33">
      <c r="N33">
        <f>IF(H33="Y",(D33+C33*(E33+F33)+G33)*Escalation!$B$2,0)</f>
        <v/>
      </c>
      <c r="O33">
        <f>IF(I33="Y",(D33+C33*(E33+F33)+G33)*Escalation!$B$3,0)</f>
        <v/>
      </c>
      <c r="P33">
        <f>IF(J33="Y",(D33+C33*(E33+F33)+G33)*Escalation!$B$4,0)</f>
        <v/>
      </c>
      <c r="Q33">
        <f>IF(K33="Y",(D33+C33*(E33+F33)+G33)*Escalation!$B$5,0)</f>
        <v/>
      </c>
      <c r="R33">
        <f>IF(L33="Y",(D33+C33*(E33+F33)+G33)*Escalation!$B$6,0)</f>
        <v/>
      </c>
      <c r="S33">
        <f>IF(M33="Y",(D33+C33*(E33+F33)+G33)*Escalation!$B$7,0)</f>
        <v/>
      </c>
      <c r="T33">
        <f>SUM(N33:S33)</f>
        <v/>
      </c>
    </row>
    <row r="34">
      <c r="N34">
        <f>IF(H34="Y",(D34+C34*(E34+F34)+G34)*Escalation!$B$2,0)</f>
        <v/>
      </c>
      <c r="O34">
        <f>IF(I34="Y",(D34+C34*(E34+F34)+G34)*Escalation!$B$3,0)</f>
        <v/>
      </c>
      <c r="P34">
        <f>IF(J34="Y",(D34+C34*(E34+F34)+G34)*Escalation!$B$4,0)</f>
        <v/>
      </c>
      <c r="Q34">
        <f>IF(K34="Y",(D34+C34*(E34+F34)+G34)*Escalation!$B$5,0)</f>
        <v/>
      </c>
      <c r="R34">
        <f>IF(L34="Y",(D34+C34*(E34+F34)+G34)*Escalation!$B$6,0)</f>
        <v/>
      </c>
      <c r="S34">
        <f>IF(M34="Y",(D34+C34*(E34+F34)+G34)*Escalation!$B$7,0)</f>
        <v/>
      </c>
      <c r="T34">
        <f>SUM(N34:S34)</f>
        <v/>
      </c>
    </row>
    <row r="35">
      <c r="N35">
        <f>IF(H35="Y",(D35+C35*(E35+F35)+G35)*Escalation!$B$2,0)</f>
        <v/>
      </c>
      <c r="O35">
        <f>IF(I35="Y",(D35+C35*(E35+F35)+G35)*Escalation!$B$3,0)</f>
        <v/>
      </c>
      <c r="P35">
        <f>IF(J35="Y",(D35+C35*(E35+F35)+G35)*Escalation!$B$4,0)</f>
        <v/>
      </c>
      <c r="Q35">
        <f>IF(K35="Y",(D35+C35*(E35+F35)+G35)*Escalation!$B$5,0)</f>
        <v/>
      </c>
      <c r="R35">
        <f>IF(L35="Y",(D35+C35*(E35+F35)+G35)*Escalation!$B$6,0)</f>
        <v/>
      </c>
      <c r="S35">
        <f>IF(M35="Y",(D35+C35*(E35+F35)+G35)*Escalation!$B$7,0)</f>
        <v/>
      </c>
      <c r="T35">
        <f>SUM(N35:S35)</f>
        <v/>
      </c>
    </row>
    <row r="36">
      <c r="N36">
        <f>IF(H36="Y",(D36+C36*(E36+F36)+G36)*Escalation!$B$2,0)</f>
        <v/>
      </c>
      <c r="O36">
        <f>IF(I36="Y",(D36+C36*(E36+F36)+G36)*Escalation!$B$3,0)</f>
        <v/>
      </c>
      <c r="P36">
        <f>IF(J36="Y",(D36+C36*(E36+F36)+G36)*Escalation!$B$4,0)</f>
        <v/>
      </c>
      <c r="Q36">
        <f>IF(K36="Y",(D36+C36*(E36+F36)+G36)*Escalation!$B$5,0)</f>
        <v/>
      </c>
      <c r="R36">
        <f>IF(L36="Y",(D36+C36*(E36+F36)+G36)*Escalation!$B$6,0)</f>
        <v/>
      </c>
      <c r="S36">
        <f>IF(M36="Y",(D36+C36*(E36+F36)+G36)*Escalation!$B$7,0)</f>
        <v/>
      </c>
      <c r="T36">
        <f>SUM(N36:S36)</f>
        <v/>
      </c>
    </row>
    <row r="37">
      <c r="N37">
        <f>IF(H37="Y",(D37+C37*(E37+F37)+G37)*Escalation!$B$2,0)</f>
        <v/>
      </c>
      <c r="O37">
        <f>IF(I37="Y",(D37+C37*(E37+F37)+G37)*Escalation!$B$3,0)</f>
        <v/>
      </c>
      <c r="P37">
        <f>IF(J37="Y",(D37+C37*(E37+F37)+G37)*Escalation!$B$4,0)</f>
        <v/>
      </c>
      <c r="Q37">
        <f>IF(K37="Y",(D37+C37*(E37+F37)+G37)*Escalation!$B$5,0)</f>
        <v/>
      </c>
      <c r="R37">
        <f>IF(L37="Y",(D37+C37*(E37+F37)+G37)*Escalation!$B$6,0)</f>
        <v/>
      </c>
      <c r="S37">
        <f>IF(M37="Y",(D37+C37*(E37+F37)+G37)*Escalation!$B$7,0)</f>
        <v/>
      </c>
      <c r="T37">
        <f>SUM(N37:S37)</f>
        <v/>
      </c>
    </row>
    <row r="38">
      <c r="N38">
        <f>IF(H38="Y",(D38+C38*(E38+F38)+G38)*Escalation!$B$2,0)</f>
        <v/>
      </c>
      <c r="O38">
        <f>IF(I38="Y",(D38+C38*(E38+F38)+G38)*Escalation!$B$3,0)</f>
        <v/>
      </c>
      <c r="P38">
        <f>IF(J38="Y",(D38+C38*(E38+F38)+G38)*Escalation!$B$4,0)</f>
        <v/>
      </c>
      <c r="Q38">
        <f>IF(K38="Y",(D38+C38*(E38+F38)+G38)*Escalation!$B$5,0)</f>
        <v/>
      </c>
      <c r="R38">
        <f>IF(L38="Y",(D38+C38*(E38+F38)+G38)*Escalation!$B$6,0)</f>
        <v/>
      </c>
      <c r="S38">
        <f>IF(M38="Y",(D38+C38*(E38+F38)+G38)*Escalation!$B$7,0)</f>
        <v/>
      </c>
      <c r="T38">
        <f>SUM(N38:S38)</f>
        <v/>
      </c>
    </row>
    <row r="39">
      <c r="N39">
        <f>IF(H39="Y",(D39+C39*(E39+F39)+G39)*Escalation!$B$2,0)</f>
        <v/>
      </c>
      <c r="O39">
        <f>IF(I39="Y",(D39+C39*(E39+F39)+G39)*Escalation!$B$3,0)</f>
        <v/>
      </c>
      <c r="P39">
        <f>IF(J39="Y",(D39+C39*(E39+F39)+G39)*Escalation!$B$4,0)</f>
        <v/>
      </c>
      <c r="Q39">
        <f>IF(K39="Y",(D39+C39*(E39+F39)+G39)*Escalation!$B$5,0)</f>
        <v/>
      </c>
      <c r="R39">
        <f>IF(L39="Y",(D39+C39*(E39+F39)+G39)*Escalation!$B$6,0)</f>
        <v/>
      </c>
      <c r="S39">
        <f>IF(M39="Y",(D39+C39*(E39+F39)+G39)*Escalation!$B$7,0)</f>
        <v/>
      </c>
      <c r="T39">
        <f>SUM(N39:S39)</f>
        <v/>
      </c>
    </row>
    <row r="40">
      <c r="N40">
        <f>IF(H40="Y",(D40+C40*(E40+F40)+G40)*Escalation!$B$2,0)</f>
        <v/>
      </c>
      <c r="O40">
        <f>IF(I40="Y",(D40+C40*(E40+F40)+G40)*Escalation!$B$3,0)</f>
        <v/>
      </c>
      <c r="P40">
        <f>IF(J40="Y",(D40+C40*(E40+F40)+G40)*Escalation!$B$4,0)</f>
        <v/>
      </c>
      <c r="Q40">
        <f>IF(K40="Y",(D40+C40*(E40+F40)+G40)*Escalation!$B$5,0)</f>
        <v/>
      </c>
      <c r="R40">
        <f>IF(L40="Y",(D40+C40*(E40+F40)+G40)*Escalation!$B$6,0)</f>
        <v/>
      </c>
      <c r="S40">
        <f>IF(M40="Y",(D40+C40*(E40+F40)+G40)*Escalation!$B$7,0)</f>
        <v/>
      </c>
      <c r="T40">
        <f>SUM(N40:S40)</f>
        <v/>
      </c>
    </row>
    <row r="41">
      <c r="N41">
        <f>IF(H41="Y",(D41+C41*(E41+F41)+G41)*Escalation!$B$2,0)</f>
        <v/>
      </c>
      <c r="O41">
        <f>IF(I41="Y",(D41+C41*(E41+F41)+G41)*Escalation!$B$3,0)</f>
        <v/>
      </c>
      <c r="P41">
        <f>IF(J41="Y",(D41+C41*(E41+F41)+G41)*Escalation!$B$4,0)</f>
        <v/>
      </c>
      <c r="Q41">
        <f>IF(K41="Y",(D41+C41*(E41+F41)+G41)*Escalation!$B$5,0)</f>
        <v/>
      </c>
      <c r="R41">
        <f>IF(L41="Y",(D41+C41*(E41+F41)+G41)*Escalation!$B$6,0)</f>
        <v/>
      </c>
      <c r="S41">
        <f>IF(M41="Y",(D41+C41*(E41+F41)+G41)*Escalation!$B$7,0)</f>
        <v/>
      </c>
      <c r="T41">
        <f>SUM(N41:S41)</f>
        <v/>
      </c>
    </row>
    <row r="42">
      <c r="N42">
        <f>IF(H42="Y",(D42+C42*(E42+F42)+G42)*Escalation!$B$2,0)</f>
        <v/>
      </c>
      <c r="O42">
        <f>IF(I42="Y",(D42+C42*(E42+F42)+G42)*Escalation!$B$3,0)</f>
        <v/>
      </c>
      <c r="P42">
        <f>IF(J42="Y",(D42+C42*(E42+F42)+G42)*Escalation!$B$4,0)</f>
        <v/>
      </c>
      <c r="Q42">
        <f>IF(K42="Y",(D42+C42*(E42+F42)+G42)*Escalation!$B$5,0)</f>
        <v/>
      </c>
      <c r="R42">
        <f>IF(L42="Y",(D42+C42*(E42+F42)+G42)*Escalation!$B$6,0)</f>
        <v/>
      </c>
      <c r="S42">
        <f>IF(M42="Y",(D42+C42*(E42+F42)+G42)*Escalation!$B$7,0)</f>
        <v/>
      </c>
      <c r="T42">
        <f>SUM(N42:S42)</f>
        <v/>
      </c>
    </row>
    <row r="43">
      <c r="N43">
        <f>IF(H43="Y",(D43+C43*(E43+F43)+G43)*Escalation!$B$2,0)</f>
        <v/>
      </c>
      <c r="O43">
        <f>IF(I43="Y",(D43+C43*(E43+F43)+G43)*Escalation!$B$3,0)</f>
        <v/>
      </c>
      <c r="P43">
        <f>IF(J43="Y",(D43+C43*(E43+F43)+G43)*Escalation!$B$4,0)</f>
        <v/>
      </c>
      <c r="Q43">
        <f>IF(K43="Y",(D43+C43*(E43+F43)+G43)*Escalation!$B$5,0)</f>
        <v/>
      </c>
      <c r="R43">
        <f>IF(L43="Y",(D43+C43*(E43+F43)+G43)*Escalation!$B$6,0)</f>
        <v/>
      </c>
      <c r="S43">
        <f>IF(M43="Y",(D43+C43*(E43+F43)+G43)*Escalation!$B$7,0)</f>
        <v/>
      </c>
      <c r="T43">
        <f>SUM(N43:S43)</f>
        <v/>
      </c>
    </row>
    <row r="44">
      <c r="N44">
        <f>IF(H44="Y",(D44+C44*(E44+F44)+G44)*Escalation!$B$2,0)</f>
        <v/>
      </c>
      <c r="O44">
        <f>IF(I44="Y",(D44+C44*(E44+F44)+G44)*Escalation!$B$3,0)</f>
        <v/>
      </c>
      <c r="P44">
        <f>IF(J44="Y",(D44+C44*(E44+F44)+G44)*Escalation!$B$4,0)</f>
        <v/>
      </c>
      <c r="Q44">
        <f>IF(K44="Y",(D44+C44*(E44+F44)+G44)*Escalation!$B$5,0)</f>
        <v/>
      </c>
      <c r="R44">
        <f>IF(L44="Y",(D44+C44*(E44+F44)+G44)*Escalation!$B$6,0)</f>
        <v/>
      </c>
      <c r="S44">
        <f>IF(M44="Y",(D44+C44*(E44+F44)+G44)*Escalation!$B$7,0)</f>
        <v/>
      </c>
      <c r="T44">
        <f>SUM(N44:S44)</f>
        <v/>
      </c>
    </row>
    <row r="45">
      <c r="N45">
        <f>IF(H45="Y",(D45+C45*(E45+F45)+G45)*Escalation!$B$2,0)</f>
        <v/>
      </c>
      <c r="O45">
        <f>IF(I45="Y",(D45+C45*(E45+F45)+G45)*Escalation!$B$3,0)</f>
        <v/>
      </c>
      <c r="P45">
        <f>IF(J45="Y",(D45+C45*(E45+F45)+G45)*Escalation!$B$4,0)</f>
        <v/>
      </c>
      <c r="Q45">
        <f>IF(K45="Y",(D45+C45*(E45+F45)+G45)*Escalation!$B$5,0)</f>
        <v/>
      </c>
      <c r="R45">
        <f>IF(L45="Y",(D45+C45*(E45+F45)+G45)*Escalation!$B$6,0)</f>
        <v/>
      </c>
      <c r="S45">
        <f>IF(M45="Y",(D45+C45*(E45+F45)+G45)*Escalation!$B$7,0)</f>
        <v/>
      </c>
      <c r="T45">
        <f>SUM(N45:S45)</f>
        <v/>
      </c>
    </row>
    <row r="46">
      <c r="N46">
        <f>IF(H46="Y",(D46+C46*(E46+F46)+G46)*Escalation!$B$2,0)</f>
        <v/>
      </c>
      <c r="O46">
        <f>IF(I46="Y",(D46+C46*(E46+F46)+G46)*Escalation!$B$3,0)</f>
        <v/>
      </c>
      <c r="P46">
        <f>IF(J46="Y",(D46+C46*(E46+F46)+G46)*Escalation!$B$4,0)</f>
        <v/>
      </c>
      <c r="Q46">
        <f>IF(K46="Y",(D46+C46*(E46+F46)+G46)*Escalation!$B$5,0)</f>
        <v/>
      </c>
      <c r="R46">
        <f>IF(L46="Y",(D46+C46*(E46+F46)+G46)*Escalation!$B$6,0)</f>
        <v/>
      </c>
      <c r="S46">
        <f>IF(M46="Y",(D46+C46*(E46+F46)+G46)*Escalation!$B$7,0)</f>
        <v/>
      </c>
      <c r="T46">
        <f>SUM(N46:S46)</f>
        <v/>
      </c>
    </row>
    <row r="47">
      <c r="N47">
        <f>IF(H47="Y",(D47+C47*(E47+F47)+G47)*Escalation!$B$2,0)</f>
        <v/>
      </c>
      <c r="O47">
        <f>IF(I47="Y",(D47+C47*(E47+F47)+G47)*Escalation!$B$3,0)</f>
        <v/>
      </c>
      <c r="P47">
        <f>IF(J47="Y",(D47+C47*(E47+F47)+G47)*Escalation!$B$4,0)</f>
        <v/>
      </c>
      <c r="Q47">
        <f>IF(K47="Y",(D47+C47*(E47+F47)+G47)*Escalation!$B$5,0)</f>
        <v/>
      </c>
      <c r="R47">
        <f>IF(L47="Y",(D47+C47*(E47+F47)+G47)*Escalation!$B$6,0)</f>
        <v/>
      </c>
      <c r="S47">
        <f>IF(M47="Y",(D47+C47*(E47+F47)+G47)*Escalation!$B$7,0)</f>
        <v/>
      </c>
      <c r="T47">
        <f>SUM(N47:S47)</f>
        <v/>
      </c>
    </row>
    <row r="48">
      <c r="N48">
        <f>IF(H48="Y",(D48+C48*(E48+F48)+G48)*Escalation!$B$2,0)</f>
        <v/>
      </c>
      <c r="O48">
        <f>IF(I48="Y",(D48+C48*(E48+F48)+G48)*Escalation!$B$3,0)</f>
        <v/>
      </c>
      <c r="P48">
        <f>IF(J48="Y",(D48+C48*(E48+F48)+G48)*Escalation!$B$4,0)</f>
        <v/>
      </c>
      <c r="Q48">
        <f>IF(K48="Y",(D48+C48*(E48+F48)+G48)*Escalation!$B$5,0)</f>
        <v/>
      </c>
      <c r="R48">
        <f>IF(L48="Y",(D48+C48*(E48+F48)+G48)*Escalation!$B$6,0)</f>
        <v/>
      </c>
      <c r="S48">
        <f>IF(M48="Y",(D48+C48*(E48+F48)+G48)*Escalation!$B$7,0)</f>
        <v/>
      </c>
      <c r="T48">
        <f>SUM(N48:S48)</f>
        <v/>
      </c>
    </row>
    <row r="49">
      <c r="N49">
        <f>IF(H49="Y",(D49+C49*(E49+F49)+G49)*Escalation!$B$2,0)</f>
        <v/>
      </c>
      <c r="O49">
        <f>IF(I49="Y",(D49+C49*(E49+F49)+G49)*Escalation!$B$3,0)</f>
        <v/>
      </c>
      <c r="P49">
        <f>IF(J49="Y",(D49+C49*(E49+F49)+G49)*Escalation!$B$4,0)</f>
        <v/>
      </c>
      <c r="Q49">
        <f>IF(K49="Y",(D49+C49*(E49+F49)+G49)*Escalation!$B$5,0)</f>
        <v/>
      </c>
      <c r="R49">
        <f>IF(L49="Y",(D49+C49*(E49+F49)+G49)*Escalation!$B$6,0)</f>
        <v/>
      </c>
      <c r="S49">
        <f>IF(M49="Y",(D49+C49*(E49+F49)+G49)*Escalation!$B$7,0)</f>
        <v/>
      </c>
      <c r="T49">
        <f>SUM(N49:S49)</f>
        <v/>
      </c>
    </row>
    <row r="50">
      <c r="N50">
        <f>IF(H50="Y",(D50+C50*(E50+F50)+G50)*Escalation!$B$2,0)</f>
        <v/>
      </c>
      <c r="O50">
        <f>IF(I50="Y",(D50+C50*(E50+F50)+G50)*Escalation!$B$3,0)</f>
        <v/>
      </c>
      <c r="P50">
        <f>IF(J50="Y",(D50+C50*(E50+F50)+G50)*Escalation!$B$4,0)</f>
        <v/>
      </c>
      <c r="Q50">
        <f>IF(K50="Y",(D50+C50*(E50+F50)+G50)*Escalation!$B$5,0)</f>
        <v/>
      </c>
      <c r="R50">
        <f>IF(L50="Y",(D50+C50*(E50+F50)+G50)*Escalation!$B$6,0)</f>
        <v/>
      </c>
      <c r="S50">
        <f>IF(M50="Y",(D50+C50*(E50+F50)+G50)*Escalation!$B$7,0)</f>
        <v/>
      </c>
      <c r="T50">
        <f>SUM(N50:S50)</f>
        <v/>
      </c>
    </row>
    <row r="51">
      <c r="N51">
        <f>IF(H51="Y",(D51+C51*(E51+F51)+G51)*Escalation!$B$2,0)</f>
        <v/>
      </c>
      <c r="O51">
        <f>IF(I51="Y",(D51+C51*(E51+F51)+G51)*Escalation!$B$3,0)</f>
        <v/>
      </c>
      <c r="P51">
        <f>IF(J51="Y",(D51+C51*(E51+F51)+G51)*Escalation!$B$4,0)</f>
        <v/>
      </c>
      <c r="Q51">
        <f>IF(K51="Y",(D51+C51*(E51+F51)+G51)*Escalation!$B$5,0)</f>
        <v/>
      </c>
      <c r="R51">
        <f>IF(L51="Y",(D51+C51*(E51+F51)+G51)*Escalation!$B$6,0)</f>
        <v/>
      </c>
      <c r="S51">
        <f>IF(M51="Y",(D51+C51*(E51+F51)+G51)*Escalation!$B$7,0)</f>
        <v/>
      </c>
      <c r="T51">
        <f>SUM(N51:S51)</f>
        <v/>
      </c>
    </row>
    <row r="52">
      <c r="N52">
        <f>IF(H52="Y",(D52+C52*(E52+F52)+G52)*Escalation!$B$2,0)</f>
        <v/>
      </c>
      <c r="O52">
        <f>IF(I52="Y",(D52+C52*(E52+F52)+G52)*Escalation!$B$3,0)</f>
        <v/>
      </c>
      <c r="P52">
        <f>IF(J52="Y",(D52+C52*(E52+F52)+G52)*Escalation!$B$4,0)</f>
        <v/>
      </c>
      <c r="Q52">
        <f>IF(K52="Y",(D52+C52*(E52+F52)+G52)*Escalation!$B$5,0)</f>
        <v/>
      </c>
      <c r="R52">
        <f>IF(L52="Y",(D52+C52*(E52+F52)+G52)*Escalation!$B$6,0)</f>
        <v/>
      </c>
      <c r="S52">
        <f>IF(M52="Y",(D52+C52*(E52+F52)+G52)*Escalation!$B$7,0)</f>
        <v/>
      </c>
      <c r="T52">
        <f>SUM(N52:S52)</f>
        <v/>
      </c>
    </row>
    <row r="53">
      <c r="N53">
        <f>IF(H53="Y",(D53+C53*(E53+F53)+G53)*Escalation!$B$2,0)</f>
        <v/>
      </c>
      <c r="O53">
        <f>IF(I53="Y",(D53+C53*(E53+F53)+G53)*Escalation!$B$3,0)</f>
        <v/>
      </c>
      <c r="P53">
        <f>IF(J53="Y",(D53+C53*(E53+F53)+G53)*Escalation!$B$4,0)</f>
        <v/>
      </c>
      <c r="Q53">
        <f>IF(K53="Y",(D53+C53*(E53+F53)+G53)*Escalation!$B$5,0)</f>
        <v/>
      </c>
      <c r="R53">
        <f>IF(L53="Y",(D53+C53*(E53+F53)+G53)*Escalation!$B$6,0)</f>
        <v/>
      </c>
      <c r="S53">
        <f>IF(M53="Y",(D53+C53*(E53+F53)+G53)*Escalation!$B$7,0)</f>
        <v/>
      </c>
      <c r="T53">
        <f>SUM(N53:S53)</f>
        <v/>
      </c>
    </row>
    <row r="54">
      <c r="N54">
        <f>IF(H54="Y",(D54+C54*(E54+F54)+G54)*Escalation!$B$2,0)</f>
        <v/>
      </c>
      <c r="O54">
        <f>IF(I54="Y",(D54+C54*(E54+F54)+G54)*Escalation!$B$3,0)</f>
        <v/>
      </c>
      <c r="P54">
        <f>IF(J54="Y",(D54+C54*(E54+F54)+G54)*Escalation!$B$4,0)</f>
        <v/>
      </c>
      <c r="Q54">
        <f>IF(K54="Y",(D54+C54*(E54+F54)+G54)*Escalation!$B$5,0)</f>
        <v/>
      </c>
      <c r="R54">
        <f>IF(L54="Y",(D54+C54*(E54+F54)+G54)*Escalation!$B$6,0)</f>
        <v/>
      </c>
      <c r="S54">
        <f>IF(M54="Y",(D54+C54*(E54+F54)+G54)*Escalation!$B$7,0)</f>
        <v/>
      </c>
      <c r="T54">
        <f>SUM(N54:S54)</f>
        <v/>
      </c>
    </row>
    <row r="55">
      <c r="N55">
        <f>IF(H55="Y",(D55+C55*(E55+F55)+G55)*Escalation!$B$2,0)</f>
        <v/>
      </c>
      <c r="O55">
        <f>IF(I55="Y",(D55+C55*(E55+F55)+G55)*Escalation!$B$3,0)</f>
        <v/>
      </c>
      <c r="P55">
        <f>IF(J55="Y",(D55+C55*(E55+F55)+G55)*Escalation!$B$4,0)</f>
        <v/>
      </c>
      <c r="Q55">
        <f>IF(K55="Y",(D55+C55*(E55+F55)+G55)*Escalation!$B$5,0)</f>
        <v/>
      </c>
      <c r="R55">
        <f>IF(L55="Y",(D55+C55*(E55+F55)+G55)*Escalation!$B$6,0)</f>
        <v/>
      </c>
      <c r="S55">
        <f>IF(M55="Y",(D55+C55*(E55+F55)+G55)*Escalation!$B$7,0)</f>
        <v/>
      </c>
      <c r="T55">
        <f>SUM(N55:S55)</f>
        <v/>
      </c>
    </row>
    <row r="56">
      <c r="N56">
        <f>IF(H56="Y",(D56+C56*(E56+F56)+G56)*Escalation!$B$2,0)</f>
        <v/>
      </c>
      <c r="O56">
        <f>IF(I56="Y",(D56+C56*(E56+F56)+G56)*Escalation!$B$3,0)</f>
        <v/>
      </c>
      <c r="P56">
        <f>IF(J56="Y",(D56+C56*(E56+F56)+G56)*Escalation!$B$4,0)</f>
        <v/>
      </c>
      <c r="Q56">
        <f>IF(K56="Y",(D56+C56*(E56+F56)+G56)*Escalation!$B$5,0)</f>
        <v/>
      </c>
      <c r="R56">
        <f>IF(L56="Y",(D56+C56*(E56+F56)+G56)*Escalation!$B$6,0)</f>
        <v/>
      </c>
      <c r="S56">
        <f>IF(M56="Y",(D56+C56*(E56+F56)+G56)*Escalation!$B$7,0)</f>
        <v/>
      </c>
      <c r="T56">
        <f>SUM(N56:S56)</f>
        <v/>
      </c>
    </row>
    <row r="57">
      <c r="N57">
        <f>IF(H57="Y",(D57+C57*(E57+F57)+G57)*Escalation!$B$2,0)</f>
        <v/>
      </c>
      <c r="O57">
        <f>IF(I57="Y",(D57+C57*(E57+F57)+G57)*Escalation!$B$3,0)</f>
        <v/>
      </c>
      <c r="P57">
        <f>IF(J57="Y",(D57+C57*(E57+F57)+G57)*Escalation!$B$4,0)</f>
        <v/>
      </c>
      <c r="Q57">
        <f>IF(K57="Y",(D57+C57*(E57+F57)+G57)*Escalation!$B$5,0)</f>
        <v/>
      </c>
      <c r="R57">
        <f>IF(L57="Y",(D57+C57*(E57+F57)+G57)*Escalation!$B$6,0)</f>
        <v/>
      </c>
      <c r="S57">
        <f>IF(M57="Y",(D57+C57*(E57+F57)+G57)*Escalation!$B$7,0)</f>
        <v/>
      </c>
      <c r="T57">
        <f>SUM(N57:S57)</f>
        <v/>
      </c>
    </row>
    <row r="58">
      <c r="N58">
        <f>IF(H58="Y",(D58+C58*(E58+F58)+G58)*Escalation!$B$2,0)</f>
        <v/>
      </c>
      <c r="O58">
        <f>IF(I58="Y",(D58+C58*(E58+F58)+G58)*Escalation!$B$3,0)</f>
        <v/>
      </c>
      <c r="P58">
        <f>IF(J58="Y",(D58+C58*(E58+F58)+G58)*Escalation!$B$4,0)</f>
        <v/>
      </c>
      <c r="Q58">
        <f>IF(K58="Y",(D58+C58*(E58+F58)+G58)*Escalation!$B$5,0)</f>
        <v/>
      </c>
      <c r="R58">
        <f>IF(L58="Y",(D58+C58*(E58+F58)+G58)*Escalation!$B$6,0)</f>
        <v/>
      </c>
      <c r="S58">
        <f>IF(M58="Y",(D58+C58*(E58+F58)+G58)*Escalation!$B$7,0)</f>
        <v/>
      </c>
      <c r="T58">
        <f>SUM(N58:S58)</f>
        <v/>
      </c>
    </row>
    <row r="59">
      <c r="N59">
        <f>IF(H59="Y",(D59+C59*(E59+F59)+G59)*Escalation!$B$2,0)</f>
        <v/>
      </c>
      <c r="O59">
        <f>IF(I59="Y",(D59+C59*(E59+F59)+G59)*Escalation!$B$3,0)</f>
        <v/>
      </c>
      <c r="P59">
        <f>IF(J59="Y",(D59+C59*(E59+F59)+G59)*Escalation!$B$4,0)</f>
        <v/>
      </c>
      <c r="Q59">
        <f>IF(K59="Y",(D59+C59*(E59+F59)+G59)*Escalation!$B$5,0)</f>
        <v/>
      </c>
      <c r="R59">
        <f>IF(L59="Y",(D59+C59*(E59+F59)+G59)*Escalation!$B$6,0)</f>
        <v/>
      </c>
      <c r="S59">
        <f>IF(M59="Y",(D59+C59*(E59+F59)+G59)*Escalation!$B$7,0)</f>
        <v/>
      </c>
      <c r="T59">
        <f>SUM(N59:S59)</f>
        <v/>
      </c>
    </row>
    <row r="60">
      <c r="N60">
        <f>IF(H60="Y",(D60+C60*(E60+F60)+G60)*Escalation!$B$2,0)</f>
        <v/>
      </c>
      <c r="O60">
        <f>IF(I60="Y",(D60+C60*(E60+F60)+G60)*Escalation!$B$3,0)</f>
        <v/>
      </c>
      <c r="P60">
        <f>IF(J60="Y",(D60+C60*(E60+F60)+G60)*Escalation!$B$4,0)</f>
        <v/>
      </c>
      <c r="Q60">
        <f>IF(K60="Y",(D60+C60*(E60+F60)+G60)*Escalation!$B$5,0)</f>
        <v/>
      </c>
      <c r="R60">
        <f>IF(L60="Y",(D60+C60*(E60+F60)+G60)*Escalation!$B$6,0)</f>
        <v/>
      </c>
      <c r="S60">
        <f>IF(M60="Y",(D60+C60*(E60+F60)+G60)*Escalation!$B$7,0)</f>
        <v/>
      </c>
      <c r="T60">
        <f>SUM(N60:S60)</f>
        <v/>
      </c>
    </row>
    <row r="61">
      <c r="N61">
        <f>IF(H61="Y",(D61+C61*(E61+F61)+G61)*Escalation!$B$2,0)</f>
        <v/>
      </c>
      <c r="O61">
        <f>IF(I61="Y",(D61+C61*(E61+F61)+G61)*Escalation!$B$3,0)</f>
        <v/>
      </c>
      <c r="P61">
        <f>IF(J61="Y",(D61+C61*(E61+F61)+G61)*Escalation!$B$4,0)</f>
        <v/>
      </c>
      <c r="Q61">
        <f>IF(K61="Y",(D61+C61*(E61+F61)+G61)*Escalation!$B$5,0)</f>
        <v/>
      </c>
      <c r="R61">
        <f>IF(L61="Y",(D61+C61*(E61+F61)+G61)*Escalation!$B$6,0)</f>
        <v/>
      </c>
      <c r="S61">
        <f>IF(M61="Y",(D61+C61*(E61+F61)+G61)*Escalation!$B$7,0)</f>
        <v/>
      </c>
      <c r="T61">
        <f>SUM(N61:S61)</f>
        <v/>
      </c>
    </row>
    <row r="62">
      <c r="N62">
        <f>IF(H62="Y",(D62+C62*(E62+F62)+G62)*Escalation!$B$2,0)</f>
        <v/>
      </c>
      <c r="O62">
        <f>IF(I62="Y",(D62+C62*(E62+F62)+G62)*Escalation!$B$3,0)</f>
        <v/>
      </c>
      <c r="P62">
        <f>IF(J62="Y",(D62+C62*(E62+F62)+G62)*Escalation!$B$4,0)</f>
        <v/>
      </c>
      <c r="Q62">
        <f>IF(K62="Y",(D62+C62*(E62+F62)+G62)*Escalation!$B$5,0)</f>
        <v/>
      </c>
      <c r="R62">
        <f>IF(L62="Y",(D62+C62*(E62+F62)+G62)*Escalation!$B$6,0)</f>
        <v/>
      </c>
      <c r="S62">
        <f>IF(M62="Y",(D62+C62*(E62+F62)+G62)*Escalation!$B$7,0)</f>
        <v/>
      </c>
      <c r="T62">
        <f>SUM(N62:S62)</f>
        <v/>
      </c>
    </row>
    <row r="63">
      <c r="N63">
        <f>IF(H63="Y",(D63+C63*(E63+F63)+G63)*Escalation!$B$2,0)</f>
        <v/>
      </c>
      <c r="O63">
        <f>IF(I63="Y",(D63+C63*(E63+F63)+G63)*Escalation!$B$3,0)</f>
        <v/>
      </c>
      <c r="P63">
        <f>IF(J63="Y",(D63+C63*(E63+F63)+G63)*Escalation!$B$4,0)</f>
        <v/>
      </c>
      <c r="Q63">
        <f>IF(K63="Y",(D63+C63*(E63+F63)+G63)*Escalation!$B$5,0)</f>
        <v/>
      </c>
      <c r="R63">
        <f>IF(L63="Y",(D63+C63*(E63+F63)+G63)*Escalation!$B$6,0)</f>
        <v/>
      </c>
      <c r="S63">
        <f>IF(M63="Y",(D63+C63*(E63+F63)+G63)*Escalation!$B$7,0)</f>
        <v/>
      </c>
      <c r="T63">
        <f>SUM(N63:S63)</f>
        <v/>
      </c>
    </row>
    <row r="64">
      <c r="N64">
        <f>IF(H64="Y",(D64+C64*(E64+F64)+G64)*Escalation!$B$2,0)</f>
        <v/>
      </c>
      <c r="O64">
        <f>IF(I64="Y",(D64+C64*(E64+F64)+G64)*Escalation!$B$3,0)</f>
        <v/>
      </c>
      <c r="P64">
        <f>IF(J64="Y",(D64+C64*(E64+F64)+G64)*Escalation!$B$4,0)</f>
        <v/>
      </c>
      <c r="Q64">
        <f>IF(K64="Y",(D64+C64*(E64+F64)+G64)*Escalation!$B$5,0)</f>
        <v/>
      </c>
      <c r="R64">
        <f>IF(L64="Y",(D64+C64*(E64+F64)+G64)*Escalation!$B$6,0)</f>
        <v/>
      </c>
      <c r="S64">
        <f>IF(M64="Y",(D64+C64*(E64+F64)+G64)*Escalation!$B$7,0)</f>
        <v/>
      </c>
      <c r="T64">
        <f>SUM(N64:S64)</f>
        <v/>
      </c>
    </row>
    <row r="65">
      <c r="N65">
        <f>IF(H65="Y",(D65+C65*(E65+F65)+G65)*Escalation!$B$2,0)</f>
        <v/>
      </c>
      <c r="O65">
        <f>IF(I65="Y",(D65+C65*(E65+F65)+G65)*Escalation!$B$3,0)</f>
        <v/>
      </c>
      <c r="P65">
        <f>IF(J65="Y",(D65+C65*(E65+F65)+G65)*Escalation!$B$4,0)</f>
        <v/>
      </c>
      <c r="Q65">
        <f>IF(K65="Y",(D65+C65*(E65+F65)+G65)*Escalation!$B$5,0)</f>
        <v/>
      </c>
      <c r="R65">
        <f>IF(L65="Y",(D65+C65*(E65+F65)+G65)*Escalation!$B$6,0)</f>
        <v/>
      </c>
      <c r="S65">
        <f>IF(M65="Y",(D65+C65*(E65+F65)+G65)*Escalation!$B$7,0)</f>
        <v/>
      </c>
      <c r="T65">
        <f>SUM(N65:S65)</f>
        <v/>
      </c>
    </row>
    <row r="66">
      <c r="N66">
        <f>IF(H66="Y",(D66+C66*(E66+F66)+G66)*Escalation!$B$2,0)</f>
        <v/>
      </c>
      <c r="O66">
        <f>IF(I66="Y",(D66+C66*(E66+F66)+G66)*Escalation!$B$3,0)</f>
        <v/>
      </c>
      <c r="P66">
        <f>IF(J66="Y",(D66+C66*(E66+F66)+G66)*Escalation!$B$4,0)</f>
        <v/>
      </c>
      <c r="Q66">
        <f>IF(K66="Y",(D66+C66*(E66+F66)+G66)*Escalation!$B$5,0)</f>
        <v/>
      </c>
      <c r="R66">
        <f>IF(L66="Y",(D66+C66*(E66+F66)+G66)*Escalation!$B$6,0)</f>
        <v/>
      </c>
      <c r="S66">
        <f>IF(M66="Y",(D66+C66*(E66+F66)+G66)*Escalation!$B$7,0)</f>
        <v/>
      </c>
      <c r="T66">
        <f>SUM(N66:S66)</f>
        <v/>
      </c>
    </row>
    <row r="67">
      <c r="N67">
        <f>IF(H67="Y",(D67+C67*(E67+F67)+G67)*Escalation!$B$2,0)</f>
        <v/>
      </c>
      <c r="O67">
        <f>IF(I67="Y",(D67+C67*(E67+F67)+G67)*Escalation!$B$3,0)</f>
        <v/>
      </c>
      <c r="P67">
        <f>IF(J67="Y",(D67+C67*(E67+F67)+G67)*Escalation!$B$4,0)</f>
        <v/>
      </c>
      <c r="Q67">
        <f>IF(K67="Y",(D67+C67*(E67+F67)+G67)*Escalation!$B$5,0)</f>
        <v/>
      </c>
      <c r="R67">
        <f>IF(L67="Y",(D67+C67*(E67+F67)+G67)*Escalation!$B$6,0)</f>
        <v/>
      </c>
      <c r="S67">
        <f>IF(M67="Y",(D67+C67*(E67+F67)+G67)*Escalation!$B$7,0)</f>
        <v/>
      </c>
      <c r="T67">
        <f>SUM(N67:S67)</f>
        <v/>
      </c>
    </row>
    <row r="68">
      <c r="N68">
        <f>IF(H68="Y",(D68+C68*(E68+F68)+G68)*Escalation!$B$2,0)</f>
        <v/>
      </c>
      <c r="O68">
        <f>IF(I68="Y",(D68+C68*(E68+F68)+G68)*Escalation!$B$3,0)</f>
        <v/>
      </c>
      <c r="P68">
        <f>IF(J68="Y",(D68+C68*(E68+F68)+G68)*Escalation!$B$4,0)</f>
        <v/>
      </c>
      <c r="Q68">
        <f>IF(K68="Y",(D68+C68*(E68+F68)+G68)*Escalation!$B$5,0)</f>
        <v/>
      </c>
      <c r="R68">
        <f>IF(L68="Y",(D68+C68*(E68+F68)+G68)*Escalation!$B$6,0)</f>
        <v/>
      </c>
      <c r="S68">
        <f>IF(M68="Y",(D68+C68*(E68+F68)+G68)*Escalation!$B$7,0)</f>
        <v/>
      </c>
      <c r="T68">
        <f>SUM(N68:S68)</f>
        <v/>
      </c>
    </row>
    <row r="69">
      <c r="N69">
        <f>IF(H69="Y",(D69+C69*(E69+F69)+G69)*Escalation!$B$2,0)</f>
        <v/>
      </c>
      <c r="O69">
        <f>IF(I69="Y",(D69+C69*(E69+F69)+G69)*Escalation!$B$3,0)</f>
        <v/>
      </c>
      <c r="P69">
        <f>IF(J69="Y",(D69+C69*(E69+F69)+G69)*Escalation!$B$4,0)</f>
        <v/>
      </c>
      <c r="Q69">
        <f>IF(K69="Y",(D69+C69*(E69+F69)+G69)*Escalation!$B$5,0)</f>
        <v/>
      </c>
      <c r="R69">
        <f>IF(L69="Y",(D69+C69*(E69+F69)+G69)*Escalation!$B$6,0)</f>
        <v/>
      </c>
      <c r="S69">
        <f>IF(M69="Y",(D69+C69*(E69+F69)+G69)*Escalation!$B$7,0)</f>
        <v/>
      </c>
      <c r="T69">
        <f>SUM(N69:S69)</f>
        <v/>
      </c>
    </row>
    <row r="70">
      <c r="N70">
        <f>IF(H70="Y",(D70+C70*(E70+F70)+G70)*Escalation!$B$2,0)</f>
        <v/>
      </c>
      <c r="O70">
        <f>IF(I70="Y",(D70+C70*(E70+F70)+G70)*Escalation!$B$3,0)</f>
        <v/>
      </c>
      <c r="P70">
        <f>IF(J70="Y",(D70+C70*(E70+F70)+G70)*Escalation!$B$4,0)</f>
        <v/>
      </c>
      <c r="Q70">
        <f>IF(K70="Y",(D70+C70*(E70+F70)+G70)*Escalation!$B$5,0)</f>
        <v/>
      </c>
      <c r="R70">
        <f>IF(L70="Y",(D70+C70*(E70+F70)+G70)*Escalation!$B$6,0)</f>
        <v/>
      </c>
      <c r="S70">
        <f>IF(M70="Y",(D70+C70*(E70+F70)+G70)*Escalation!$B$7,0)</f>
        <v/>
      </c>
      <c r="T70">
        <f>SUM(N70:S70)</f>
        <v/>
      </c>
    </row>
    <row r="71">
      <c r="N71">
        <f>IF(H71="Y",(D71+C71*(E71+F71)+G71)*Escalation!$B$2,0)</f>
        <v/>
      </c>
      <c r="O71">
        <f>IF(I71="Y",(D71+C71*(E71+F71)+G71)*Escalation!$B$3,0)</f>
        <v/>
      </c>
      <c r="P71">
        <f>IF(J71="Y",(D71+C71*(E71+F71)+G71)*Escalation!$B$4,0)</f>
        <v/>
      </c>
      <c r="Q71">
        <f>IF(K71="Y",(D71+C71*(E71+F71)+G71)*Escalation!$B$5,0)</f>
        <v/>
      </c>
      <c r="R71">
        <f>IF(L71="Y",(D71+C71*(E71+F71)+G71)*Escalation!$B$6,0)</f>
        <v/>
      </c>
      <c r="S71">
        <f>IF(M71="Y",(D71+C71*(E71+F71)+G71)*Escalation!$B$7,0)</f>
        <v/>
      </c>
      <c r="T71">
        <f>SUM(N71:S71)</f>
        <v/>
      </c>
    </row>
    <row r="72">
      <c r="N72">
        <f>IF(H72="Y",(D72+C72*(E72+F72)+G72)*Escalation!$B$2,0)</f>
        <v/>
      </c>
      <c r="O72">
        <f>IF(I72="Y",(D72+C72*(E72+F72)+G72)*Escalation!$B$3,0)</f>
        <v/>
      </c>
      <c r="P72">
        <f>IF(J72="Y",(D72+C72*(E72+F72)+G72)*Escalation!$B$4,0)</f>
        <v/>
      </c>
      <c r="Q72">
        <f>IF(K72="Y",(D72+C72*(E72+F72)+G72)*Escalation!$B$5,0)</f>
        <v/>
      </c>
      <c r="R72">
        <f>IF(L72="Y",(D72+C72*(E72+F72)+G72)*Escalation!$B$6,0)</f>
        <v/>
      </c>
      <c r="S72">
        <f>IF(M72="Y",(D72+C72*(E72+F72)+G72)*Escalation!$B$7,0)</f>
        <v/>
      </c>
      <c r="T72">
        <f>SUM(N72:S72)</f>
        <v/>
      </c>
    </row>
    <row r="73">
      <c r="N73">
        <f>IF(H73="Y",(D73+C73*(E73+F73)+G73)*Escalation!$B$2,0)</f>
        <v/>
      </c>
      <c r="O73">
        <f>IF(I73="Y",(D73+C73*(E73+F73)+G73)*Escalation!$B$3,0)</f>
        <v/>
      </c>
      <c r="P73">
        <f>IF(J73="Y",(D73+C73*(E73+F73)+G73)*Escalation!$B$4,0)</f>
        <v/>
      </c>
      <c r="Q73">
        <f>IF(K73="Y",(D73+C73*(E73+F73)+G73)*Escalation!$B$5,0)</f>
        <v/>
      </c>
      <c r="R73">
        <f>IF(L73="Y",(D73+C73*(E73+F73)+G73)*Escalation!$B$6,0)</f>
        <v/>
      </c>
      <c r="S73">
        <f>IF(M73="Y",(D73+C73*(E73+F73)+G73)*Escalation!$B$7,0)</f>
        <v/>
      </c>
      <c r="T73">
        <f>SUM(N73:S73)</f>
        <v/>
      </c>
    </row>
    <row r="74">
      <c r="N74">
        <f>IF(H74="Y",(D74+C74*(E74+F74)+G74)*Escalation!$B$2,0)</f>
        <v/>
      </c>
      <c r="O74">
        <f>IF(I74="Y",(D74+C74*(E74+F74)+G74)*Escalation!$B$3,0)</f>
        <v/>
      </c>
      <c r="P74">
        <f>IF(J74="Y",(D74+C74*(E74+F74)+G74)*Escalation!$B$4,0)</f>
        <v/>
      </c>
      <c r="Q74">
        <f>IF(K74="Y",(D74+C74*(E74+F74)+G74)*Escalation!$B$5,0)</f>
        <v/>
      </c>
      <c r="R74">
        <f>IF(L74="Y",(D74+C74*(E74+F74)+G74)*Escalation!$B$6,0)</f>
        <v/>
      </c>
      <c r="S74">
        <f>IF(M74="Y",(D74+C74*(E74+F74)+G74)*Escalation!$B$7,0)</f>
        <v/>
      </c>
      <c r="T74">
        <f>SUM(N74:S74)</f>
        <v/>
      </c>
    </row>
    <row r="75">
      <c r="N75">
        <f>IF(H75="Y",(D75+C75*(E75+F75)+G75)*Escalation!$B$2,0)</f>
        <v/>
      </c>
      <c r="O75">
        <f>IF(I75="Y",(D75+C75*(E75+F75)+G75)*Escalation!$B$3,0)</f>
        <v/>
      </c>
      <c r="P75">
        <f>IF(J75="Y",(D75+C75*(E75+F75)+G75)*Escalation!$B$4,0)</f>
        <v/>
      </c>
      <c r="Q75">
        <f>IF(K75="Y",(D75+C75*(E75+F75)+G75)*Escalation!$B$5,0)</f>
        <v/>
      </c>
      <c r="R75">
        <f>IF(L75="Y",(D75+C75*(E75+F75)+G75)*Escalation!$B$6,0)</f>
        <v/>
      </c>
      <c r="S75">
        <f>IF(M75="Y",(D75+C75*(E75+F75)+G75)*Escalation!$B$7,0)</f>
        <v/>
      </c>
      <c r="T75">
        <f>SUM(N75:S75)</f>
        <v/>
      </c>
    </row>
    <row r="76">
      <c r="N76">
        <f>IF(H76="Y",(D76+C76*(E76+F76)+G76)*Escalation!$B$2,0)</f>
        <v/>
      </c>
      <c r="O76">
        <f>IF(I76="Y",(D76+C76*(E76+F76)+G76)*Escalation!$B$3,0)</f>
        <v/>
      </c>
      <c r="P76">
        <f>IF(J76="Y",(D76+C76*(E76+F76)+G76)*Escalation!$B$4,0)</f>
        <v/>
      </c>
      <c r="Q76">
        <f>IF(K76="Y",(D76+C76*(E76+F76)+G76)*Escalation!$B$5,0)</f>
        <v/>
      </c>
      <c r="R76">
        <f>IF(L76="Y",(D76+C76*(E76+F76)+G76)*Escalation!$B$6,0)</f>
        <v/>
      </c>
      <c r="S76">
        <f>IF(M76="Y",(D76+C76*(E76+F76)+G76)*Escalation!$B$7,0)</f>
        <v/>
      </c>
      <c r="T76">
        <f>SUM(N76:S76)</f>
        <v/>
      </c>
    </row>
    <row r="77">
      <c r="N77">
        <f>IF(H77="Y",(D77+C77*(E77+F77)+G77)*Escalation!$B$2,0)</f>
        <v/>
      </c>
      <c r="O77">
        <f>IF(I77="Y",(D77+C77*(E77+F77)+G77)*Escalation!$B$3,0)</f>
        <v/>
      </c>
      <c r="P77">
        <f>IF(J77="Y",(D77+C77*(E77+F77)+G77)*Escalation!$B$4,0)</f>
        <v/>
      </c>
      <c r="Q77">
        <f>IF(K77="Y",(D77+C77*(E77+F77)+G77)*Escalation!$B$5,0)</f>
        <v/>
      </c>
      <c r="R77">
        <f>IF(L77="Y",(D77+C77*(E77+F77)+G77)*Escalation!$B$6,0)</f>
        <v/>
      </c>
      <c r="S77">
        <f>IF(M77="Y",(D77+C77*(E77+F77)+G77)*Escalation!$B$7,0)</f>
        <v/>
      </c>
      <c r="T77">
        <f>SUM(N77:S77)</f>
        <v/>
      </c>
    </row>
    <row r="78">
      <c r="N78">
        <f>IF(H78="Y",(D78+C78*(E78+F78)+G78)*Escalation!$B$2,0)</f>
        <v/>
      </c>
      <c r="O78">
        <f>IF(I78="Y",(D78+C78*(E78+F78)+G78)*Escalation!$B$3,0)</f>
        <v/>
      </c>
      <c r="P78">
        <f>IF(J78="Y",(D78+C78*(E78+F78)+G78)*Escalation!$B$4,0)</f>
        <v/>
      </c>
      <c r="Q78">
        <f>IF(K78="Y",(D78+C78*(E78+F78)+G78)*Escalation!$B$5,0)</f>
        <v/>
      </c>
      <c r="R78">
        <f>IF(L78="Y",(D78+C78*(E78+F78)+G78)*Escalation!$B$6,0)</f>
        <v/>
      </c>
      <c r="S78">
        <f>IF(M78="Y",(D78+C78*(E78+F78)+G78)*Escalation!$B$7,0)</f>
        <v/>
      </c>
      <c r="T78">
        <f>SUM(N78:S78)</f>
        <v/>
      </c>
    </row>
    <row r="79">
      <c r="N79">
        <f>IF(H79="Y",(D79+C79*(E79+F79)+G79)*Escalation!$B$2,0)</f>
        <v/>
      </c>
      <c r="O79">
        <f>IF(I79="Y",(D79+C79*(E79+F79)+G79)*Escalation!$B$3,0)</f>
        <v/>
      </c>
      <c r="P79">
        <f>IF(J79="Y",(D79+C79*(E79+F79)+G79)*Escalation!$B$4,0)</f>
        <v/>
      </c>
      <c r="Q79">
        <f>IF(K79="Y",(D79+C79*(E79+F79)+G79)*Escalation!$B$5,0)</f>
        <v/>
      </c>
      <c r="R79">
        <f>IF(L79="Y",(D79+C79*(E79+F79)+G79)*Escalation!$B$6,0)</f>
        <v/>
      </c>
      <c r="S79">
        <f>IF(M79="Y",(D79+C79*(E79+F79)+G79)*Escalation!$B$7,0)</f>
        <v/>
      </c>
      <c r="T79">
        <f>SUM(N79:S79)</f>
        <v/>
      </c>
    </row>
    <row r="80">
      <c r="N80">
        <f>IF(H80="Y",(D80+C80*(E80+F80)+G80)*Escalation!$B$2,0)</f>
        <v/>
      </c>
      <c r="O80">
        <f>IF(I80="Y",(D80+C80*(E80+F80)+G80)*Escalation!$B$3,0)</f>
        <v/>
      </c>
      <c r="P80">
        <f>IF(J80="Y",(D80+C80*(E80+F80)+G80)*Escalation!$B$4,0)</f>
        <v/>
      </c>
      <c r="Q80">
        <f>IF(K80="Y",(D80+C80*(E80+F80)+G80)*Escalation!$B$5,0)</f>
        <v/>
      </c>
      <c r="R80">
        <f>IF(L80="Y",(D80+C80*(E80+F80)+G80)*Escalation!$B$6,0)</f>
        <v/>
      </c>
      <c r="S80">
        <f>IF(M80="Y",(D80+C80*(E80+F80)+G80)*Escalation!$B$7,0)</f>
        <v/>
      </c>
      <c r="T80">
        <f>SUM(N80:S80)</f>
        <v/>
      </c>
    </row>
    <row r="81">
      <c r="N81">
        <f>IF(H81="Y",(D81+C81*(E81+F81)+G81)*Escalation!$B$2,0)</f>
        <v/>
      </c>
      <c r="O81">
        <f>IF(I81="Y",(D81+C81*(E81+F81)+G81)*Escalation!$B$3,0)</f>
        <v/>
      </c>
      <c r="P81">
        <f>IF(J81="Y",(D81+C81*(E81+F81)+G81)*Escalation!$B$4,0)</f>
        <v/>
      </c>
      <c r="Q81">
        <f>IF(K81="Y",(D81+C81*(E81+F81)+G81)*Escalation!$B$5,0)</f>
        <v/>
      </c>
      <c r="R81">
        <f>IF(L81="Y",(D81+C81*(E81+F81)+G81)*Escalation!$B$6,0)</f>
        <v/>
      </c>
      <c r="S81">
        <f>IF(M81="Y",(D81+C81*(E81+F81)+G81)*Escalation!$B$7,0)</f>
        <v/>
      </c>
      <c r="T81">
        <f>SUM(N81:S81)</f>
        <v/>
      </c>
    </row>
    <row r="82">
      <c r="N82">
        <f>IF(H82="Y",(D82+C82*(E82+F82)+G82)*Escalation!$B$2,0)</f>
        <v/>
      </c>
      <c r="O82">
        <f>IF(I82="Y",(D82+C82*(E82+F82)+G82)*Escalation!$B$3,0)</f>
        <v/>
      </c>
      <c r="P82">
        <f>IF(J82="Y",(D82+C82*(E82+F82)+G82)*Escalation!$B$4,0)</f>
        <v/>
      </c>
      <c r="Q82">
        <f>IF(K82="Y",(D82+C82*(E82+F82)+G82)*Escalation!$B$5,0)</f>
        <v/>
      </c>
      <c r="R82">
        <f>IF(L82="Y",(D82+C82*(E82+F82)+G82)*Escalation!$B$6,0)</f>
        <v/>
      </c>
      <c r="S82">
        <f>IF(M82="Y",(D82+C82*(E82+F82)+G82)*Escalation!$B$7,0)</f>
        <v/>
      </c>
      <c r="T82">
        <f>SUM(N82:S82)</f>
        <v/>
      </c>
    </row>
    <row r="83">
      <c r="N83">
        <f>IF(H83="Y",(D83+C83*(E83+F83)+G83)*Escalation!$B$2,0)</f>
        <v/>
      </c>
      <c r="O83">
        <f>IF(I83="Y",(D83+C83*(E83+F83)+G83)*Escalation!$B$3,0)</f>
        <v/>
      </c>
      <c r="P83">
        <f>IF(J83="Y",(D83+C83*(E83+F83)+G83)*Escalation!$B$4,0)</f>
        <v/>
      </c>
      <c r="Q83">
        <f>IF(K83="Y",(D83+C83*(E83+F83)+G83)*Escalation!$B$5,0)</f>
        <v/>
      </c>
      <c r="R83">
        <f>IF(L83="Y",(D83+C83*(E83+F83)+G83)*Escalation!$B$6,0)</f>
        <v/>
      </c>
      <c r="S83">
        <f>IF(M83="Y",(D83+C83*(E83+F83)+G83)*Escalation!$B$7,0)</f>
        <v/>
      </c>
      <c r="T83">
        <f>SUM(N83:S83)</f>
        <v/>
      </c>
    </row>
    <row r="84">
      <c r="N84">
        <f>IF(H84="Y",(D84+C84*(E84+F84)+G84)*Escalation!$B$2,0)</f>
        <v/>
      </c>
      <c r="O84">
        <f>IF(I84="Y",(D84+C84*(E84+F84)+G84)*Escalation!$B$3,0)</f>
        <v/>
      </c>
      <c r="P84">
        <f>IF(J84="Y",(D84+C84*(E84+F84)+G84)*Escalation!$B$4,0)</f>
        <v/>
      </c>
      <c r="Q84">
        <f>IF(K84="Y",(D84+C84*(E84+F84)+G84)*Escalation!$B$5,0)</f>
        <v/>
      </c>
      <c r="R84">
        <f>IF(L84="Y",(D84+C84*(E84+F84)+G84)*Escalation!$B$6,0)</f>
        <v/>
      </c>
      <c r="S84">
        <f>IF(M84="Y",(D84+C84*(E84+F84)+G84)*Escalation!$B$7,0)</f>
        <v/>
      </c>
      <c r="T84">
        <f>SUM(N84:S84)</f>
        <v/>
      </c>
    </row>
    <row r="85">
      <c r="N85">
        <f>IF(H85="Y",(D85+C85*(E85+F85)+G85)*Escalation!$B$2,0)</f>
        <v/>
      </c>
      <c r="O85">
        <f>IF(I85="Y",(D85+C85*(E85+F85)+G85)*Escalation!$B$3,0)</f>
        <v/>
      </c>
      <c r="P85">
        <f>IF(J85="Y",(D85+C85*(E85+F85)+G85)*Escalation!$B$4,0)</f>
        <v/>
      </c>
      <c r="Q85">
        <f>IF(K85="Y",(D85+C85*(E85+F85)+G85)*Escalation!$B$5,0)</f>
        <v/>
      </c>
      <c r="R85">
        <f>IF(L85="Y",(D85+C85*(E85+F85)+G85)*Escalation!$B$6,0)</f>
        <v/>
      </c>
      <c r="S85">
        <f>IF(M85="Y",(D85+C85*(E85+F85)+G85)*Escalation!$B$7,0)</f>
        <v/>
      </c>
      <c r="T85">
        <f>SUM(N85:S85)</f>
        <v/>
      </c>
    </row>
    <row r="86">
      <c r="N86">
        <f>IF(H86="Y",(D86+C86*(E86+F86)+G86)*Escalation!$B$2,0)</f>
        <v/>
      </c>
      <c r="O86">
        <f>IF(I86="Y",(D86+C86*(E86+F86)+G86)*Escalation!$B$3,0)</f>
        <v/>
      </c>
      <c r="P86">
        <f>IF(J86="Y",(D86+C86*(E86+F86)+G86)*Escalation!$B$4,0)</f>
        <v/>
      </c>
      <c r="Q86">
        <f>IF(K86="Y",(D86+C86*(E86+F86)+G86)*Escalation!$B$5,0)</f>
        <v/>
      </c>
      <c r="R86">
        <f>IF(L86="Y",(D86+C86*(E86+F86)+G86)*Escalation!$B$6,0)</f>
        <v/>
      </c>
      <c r="S86">
        <f>IF(M86="Y",(D86+C86*(E86+F86)+G86)*Escalation!$B$7,0)</f>
        <v/>
      </c>
      <c r="T86">
        <f>SUM(N86:S86)</f>
        <v/>
      </c>
    </row>
    <row r="87">
      <c r="N87">
        <f>IF(H87="Y",(D87+C87*(E87+F87)+G87)*Escalation!$B$2,0)</f>
        <v/>
      </c>
      <c r="O87">
        <f>IF(I87="Y",(D87+C87*(E87+F87)+G87)*Escalation!$B$3,0)</f>
        <v/>
      </c>
      <c r="P87">
        <f>IF(J87="Y",(D87+C87*(E87+F87)+G87)*Escalation!$B$4,0)</f>
        <v/>
      </c>
      <c r="Q87">
        <f>IF(K87="Y",(D87+C87*(E87+F87)+G87)*Escalation!$B$5,0)</f>
        <v/>
      </c>
      <c r="R87">
        <f>IF(L87="Y",(D87+C87*(E87+F87)+G87)*Escalation!$B$6,0)</f>
        <v/>
      </c>
      <c r="S87">
        <f>IF(M87="Y",(D87+C87*(E87+F87)+G87)*Escalation!$B$7,0)</f>
        <v/>
      </c>
      <c r="T87">
        <f>SUM(N87:S87)</f>
        <v/>
      </c>
    </row>
    <row r="88">
      <c r="N88">
        <f>IF(H88="Y",(D88+C88*(E88+F88)+G88)*Escalation!$B$2,0)</f>
        <v/>
      </c>
      <c r="O88">
        <f>IF(I88="Y",(D88+C88*(E88+F88)+G88)*Escalation!$B$3,0)</f>
        <v/>
      </c>
      <c r="P88">
        <f>IF(J88="Y",(D88+C88*(E88+F88)+G88)*Escalation!$B$4,0)</f>
        <v/>
      </c>
      <c r="Q88">
        <f>IF(K88="Y",(D88+C88*(E88+F88)+G88)*Escalation!$B$5,0)</f>
        <v/>
      </c>
      <c r="R88">
        <f>IF(L88="Y",(D88+C88*(E88+F88)+G88)*Escalation!$B$6,0)</f>
        <v/>
      </c>
      <c r="S88">
        <f>IF(M88="Y",(D88+C88*(E88+F88)+G88)*Escalation!$B$7,0)</f>
        <v/>
      </c>
      <c r="T88">
        <f>SUM(N88:S88)</f>
        <v/>
      </c>
    </row>
    <row r="89">
      <c r="N89">
        <f>IF(H89="Y",(D89+C89*(E89+F89)+G89)*Escalation!$B$2,0)</f>
        <v/>
      </c>
      <c r="O89">
        <f>IF(I89="Y",(D89+C89*(E89+F89)+G89)*Escalation!$B$3,0)</f>
        <v/>
      </c>
      <c r="P89">
        <f>IF(J89="Y",(D89+C89*(E89+F89)+G89)*Escalation!$B$4,0)</f>
        <v/>
      </c>
      <c r="Q89">
        <f>IF(K89="Y",(D89+C89*(E89+F89)+G89)*Escalation!$B$5,0)</f>
        <v/>
      </c>
      <c r="R89">
        <f>IF(L89="Y",(D89+C89*(E89+F89)+G89)*Escalation!$B$6,0)</f>
        <v/>
      </c>
      <c r="S89">
        <f>IF(M89="Y",(D89+C89*(E89+F89)+G89)*Escalation!$B$7,0)</f>
        <v/>
      </c>
      <c r="T89">
        <f>SUM(N89:S89)</f>
        <v/>
      </c>
    </row>
    <row r="90">
      <c r="N90">
        <f>IF(H90="Y",(D90+C90*(E90+F90)+G90)*Escalation!$B$2,0)</f>
        <v/>
      </c>
      <c r="O90">
        <f>IF(I90="Y",(D90+C90*(E90+F90)+G90)*Escalation!$B$3,0)</f>
        <v/>
      </c>
      <c r="P90">
        <f>IF(J90="Y",(D90+C90*(E90+F90)+G90)*Escalation!$B$4,0)</f>
        <v/>
      </c>
      <c r="Q90">
        <f>IF(K90="Y",(D90+C90*(E90+F90)+G90)*Escalation!$B$5,0)</f>
        <v/>
      </c>
      <c r="R90">
        <f>IF(L90="Y",(D90+C90*(E90+F90)+G90)*Escalation!$B$6,0)</f>
        <v/>
      </c>
      <c r="S90">
        <f>IF(M90="Y",(D90+C90*(E90+F90)+G90)*Escalation!$B$7,0)</f>
        <v/>
      </c>
      <c r="T90">
        <f>SUM(N90:S90)</f>
        <v/>
      </c>
    </row>
    <row r="91">
      <c r="N91">
        <f>IF(H91="Y",(D91+C91*(E91+F91)+G91)*Escalation!$B$2,0)</f>
        <v/>
      </c>
      <c r="O91">
        <f>IF(I91="Y",(D91+C91*(E91+F91)+G91)*Escalation!$B$3,0)</f>
        <v/>
      </c>
      <c r="P91">
        <f>IF(J91="Y",(D91+C91*(E91+F91)+G91)*Escalation!$B$4,0)</f>
        <v/>
      </c>
      <c r="Q91">
        <f>IF(K91="Y",(D91+C91*(E91+F91)+G91)*Escalation!$B$5,0)</f>
        <v/>
      </c>
      <c r="R91">
        <f>IF(L91="Y",(D91+C91*(E91+F91)+G91)*Escalation!$B$6,0)</f>
        <v/>
      </c>
      <c r="S91">
        <f>IF(M91="Y",(D91+C91*(E91+F91)+G91)*Escalation!$B$7,0)</f>
        <v/>
      </c>
      <c r="T91">
        <f>SUM(N91:S91)</f>
        <v/>
      </c>
    </row>
    <row r="92">
      <c r="N92">
        <f>IF(H92="Y",(D92+C92*(E92+F92)+G92)*Escalation!$B$2,0)</f>
        <v/>
      </c>
      <c r="O92">
        <f>IF(I92="Y",(D92+C92*(E92+F92)+G92)*Escalation!$B$3,0)</f>
        <v/>
      </c>
      <c r="P92">
        <f>IF(J92="Y",(D92+C92*(E92+F92)+G92)*Escalation!$B$4,0)</f>
        <v/>
      </c>
      <c r="Q92">
        <f>IF(K92="Y",(D92+C92*(E92+F92)+G92)*Escalation!$B$5,0)</f>
        <v/>
      </c>
      <c r="R92">
        <f>IF(L92="Y",(D92+C92*(E92+F92)+G92)*Escalation!$B$6,0)</f>
        <v/>
      </c>
      <c r="S92">
        <f>IF(M92="Y",(D92+C92*(E92+F92)+G92)*Escalation!$B$7,0)</f>
        <v/>
      </c>
      <c r="T92">
        <f>SUM(N92:S92)</f>
        <v/>
      </c>
    </row>
    <row r="93">
      <c r="N93">
        <f>IF(H93="Y",(D93+C93*(E93+F93)+G93)*Escalation!$B$2,0)</f>
        <v/>
      </c>
      <c r="O93">
        <f>IF(I93="Y",(D93+C93*(E93+F93)+G93)*Escalation!$B$3,0)</f>
        <v/>
      </c>
      <c r="P93">
        <f>IF(J93="Y",(D93+C93*(E93+F93)+G93)*Escalation!$B$4,0)</f>
        <v/>
      </c>
      <c r="Q93">
        <f>IF(K93="Y",(D93+C93*(E93+F93)+G93)*Escalation!$B$5,0)</f>
        <v/>
      </c>
      <c r="R93">
        <f>IF(L93="Y",(D93+C93*(E93+F93)+G93)*Escalation!$B$6,0)</f>
        <v/>
      </c>
      <c r="S93">
        <f>IF(M93="Y",(D93+C93*(E93+F93)+G93)*Escalation!$B$7,0)</f>
        <v/>
      </c>
      <c r="T93">
        <f>SUM(N93:S93)</f>
        <v/>
      </c>
    </row>
    <row r="94">
      <c r="N94">
        <f>IF(H94="Y",(D94+C94*(E94+F94)+G94)*Escalation!$B$2,0)</f>
        <v/>
      </c>
      <c r="O94">
        <f>IF(I94="Y",(D94+C94*(E94+F94)+G94)*Escalation!$B$3,0)</f>
        <v/>
      </c>
      <c r="P94">
        <f>IF(J94="Y",(D94+C94*(E94+F94)+G94)*Escalation!$B$4,0)</f>
        <v/>
      </c>
      <c r="Q94">
        <f>IF(K94="Y",(D94+C94*(E94+F94)+G94)*Escalation!$B$5,0)</f>
        <v/>
      </c>
      <c r="R94">
        <f>IF(L94="Y",(D94+C94*(E94+F94)+G94)*Escalation!$B$6,0)</f>
        <v/>
      </c>
      <c r="S94">
        <f>IF(M94="Y",(D94+C94*(E94+F94)+G94)*Escalation!$B$7,0)</f>
        <v/>
      </c>
      <c r="T94">
        <f>SUM(N94:S94)</f>
        <v/>
      </c>
    </row>
    <row r="95">
      <c r="N95">
        <f>IF(H95="Y",(D95+C95*(E95+F95)+G95)*Escalation!$B$2,0)</f>
        <v/>
      </c>
      <c r="O95">
        <f>IF(I95="Y",(D95+C95*(E95+F95)+G95)*Escalation!$B$3,0)</f>
        <v/>
      </c>
      <c r="P95">
        <f>IF(J95="Y",(D95+C95*(E95+F95)+G95)*Escalation!$B$4,0)</f>
        <v/>
      </c>
      <c r="Q95">
        <f>IF(K95="Y",(D95+C95*(E95+F95)+G95)*Escalation!$B$5,0)</f>
        <v/>
      </c>
      <c r="R95">
        <f>IF(L95="Y",(D95+C95*(E95+F95)+G95)*Escalation!$B$6,0)</f>
        <v/>
      </c>
      <c r="S95">
        <f>IF(M95="Y",(D95+C95*(E95+F95)+G95)*Escalation!$B$7,0)</f>
        <v/>
      </c>
      <c r="T95">
        <f>SUM(N95:S95)</f>
        <v/>
      </c>
    </row>
    <row r="96">
      <c r="N96">
        <f>IF(H96="Y",(D96+C96*(E96+F96)+G96)*Escalation!$B$2,0)</f>
        <v/>
      </c>
      <c r="O96">
        <f>IF(I96="Y",(D96+C96*(E96+F96)+G96)*Escalation!$B$3,0)</f>
        <v/>
      </c>
      <c r="P96">
        <f>IF(J96="Y",(D96+C96*(E96+F96)+G96)*Escalation!$B$4,0)</f>
        <v/>
      </c>
      <c r="Q96">
        <f>IF(K96="Y",(D96+C96*(E96+F96)+G96)*Escalation!$B$5,0)</f>
        <v/>
      </c>
      <c r="R96">
        <f>IF(L96="Y",(D96+C96*(E96+F96)+G96)*Escalation!$B$6,0)</f>
        <v/>
      </c>
      <c r="S96">
        <f>IF(M96="Y",(D96+C96*(E96+F96)+G96)*Escalation!$B$7,0)</f>
        <v/>
      </c>
      <c r="T96">
        <f>SUM(N96:S96)</f>
        <v/>
      </c>
    </row>
    <row r="97">
      <c r="N97">
        <f>IF(H97="Y",(D97+C97*(E97+F97)+G97)*Escalation!$B$2,0)</f>
        <v/>
      </c>
      <c r="O97">
        <f>IF(I97="Y",(D97+C97*(E97+F97)+G97)*Escalation!$B$3,0)</f>
        <v/>
      </c>
      <c r="P97">
        <f>IF(J97="Y",(D97+C97*(E97+F97)+G97)*Escalation!$B$4,0)</f>
        <v/>
      </c>
      <c r="Q97">
        <f>IF(K97="Y",(D97+C97*(E97+F97)+G97)*Escalation!$B$5,0)</f>
        <v/>
      </c>
      <c r="R97">
        <f>IF(L97="Y",(D97+C97*(E97+F97)+G97)*Escalation!$B$6,0)</f>
        <v/>
      </c>
      <c r="S97">
        <f>IF(M97="Y",(D97+C97*(E97+F97)+G97)*Escalation!$B$7,0)</f>
        <v/>
      </c>
      <c r="T97">
        <f>SUM(N97:S97)</f>
        <v/>
      </c>
    </row>
    <row r="98">
      <c r="N98">
        <f>IF(H98="Y",(D98+C98*(E98+F98)+G98)*Escalation!$B$2,0)</f>
        <v/>
      </c>
      <c r="O98">
        <f>IF(I98="Y",(D98+C98*(E98+F98)+G98)*Escalation!$B$3,0)</f>
        <v/>
      </c>
      <c r="P98">
        <f>IF(J98="Y",(D98+C98*(E98+F98)+G98)*Escalation!$B$4,0)</f>
        <v/>
      </c>
      <c r="Q98">
        <f>IF(K98="Y",(D98+C98*(E98+F98)+G98)*Escalation!$B$5,0)</f>
        <v/>
      </c>
      <c r="R98">
        <f>IF(L98="Y",(D98+C98*(E98+F98)+G98)*Escalation!$B$6,0)</f>
        <v/>
      </c>
      <c r="S98">
        <f>IF(M98="Y",(D98+C98*(E98+F98)+G98)*Escalation!$B$7,0)</f>
        <v/>
      </c>
      <c r="T98">
        <f>SUM(N98:S98)</f>
        <v/>
      </c>
    </row>
    <row r="99">
      <c r="N99">
        <f>IF(H99="Y",(D99+C99*(E99+F99)+G99)*Escalation!$B$2,0)</f>
        <v/>
      </c>
      <c r="O99">
        <f>IF(I99="Y",(D99+C99*(E99+F99)+G99)*Escalation!$B$3,0)</f>
        <v/>
      </c>
      <c r="P99">
        <f>IF(J99="Y",(D99+C99*(E99+F99)+G99)*Escalation!$B$4,0)</f>
        <v/>
      </c>
      <c r="Q99">
        <f>IF(K99="Y",(D99+C99*(E99+F99)+G99)*Escalation!$B$5,0)</f>
        <v/>
      </c>
      <c r="R99">
        <f>IF(L99="Y",(D99+C99*(E99+F99)+G99)*Escalation!$B$6,0)</f>
        <v/>
      </c>
      <c r="S99">
        <f>IF(M99="Y",(D99+C99*(E99+F99)+G99)*Escalation!$B$7,0)</f>
        <v/>
      </c>
      <c r="T99">
        <f>SUM(N99:S99)</f>
        <v/>
      </c>
    </row>
    <row r="100">
      <c r="N100">
        <f>IF(H100="Y",(D100+C100*(E100+F100)+G100)*Escalation!$B$2,0)</f>
        <v/>
      </c>
      <c r="O100">
        <f>IF(I100="Y",(D100+C100*(E100+F100)+G100)*Escalation!$B$3,0)</f>
        <v/>
      </c>
      <c r="P100">
        <f>IF(J100="Y",(D100+C100*(E100+F100)+G100)*Escalation!$B$4,0)</f>
        <v/>
      </c>
      <c r="Q100">
        <f>IF(K100="Y",(D100+C100*(E100+F100)+G100)*Escalation!$B$5,0)</f>
        <v/>
      </c>
      <c r="R100">
        <f>IF(L100="Y",(D100+C100*(E100+F100)+G100)*Escalation!$B$6,0)</f>
        <v/>
      </c>
      <c r="S100">
        <f>IF(M100="Y",(D100+C100*(E100+F100)+G100)*Escalation!$B$7,0)</f>
        <v/>
      </c>
      <c r="T100">
        <f>SUM(N100:S100)</f>
        <v/>
      </c>
    </row>
    <row r="101">
      <c r="N101">
        <f>IF(H101="Y",(D101+C101*(E101+F101)+G101)*Escalation!$B$2,0)</f>
        <v/>
      </c>
      <c r="O101">
        <f>IF(I101="Y",(D101+C101*(E101+F101)+G101)*Escalation!$B$3,0)</f>
        <v/>
      </c>
      <c r="P101">
        <f>IF(J101="Y",(D101+C101*(E101+F101)+G101)*Escalation!$B$4,0)</f>
        <v/>
      </c>
      <c r="Q101">
        <f>IF(K101="Y",(D101+C101*(E101+F101)+G101)*Escalation!$B$5,0)</f>
        <v/>
      </c>
      <c r="R101">
        <f>IF(L101="Y",(D101+C101*(E101+F101)+G101)*Escalation!$B$6,0)</f>
        <v/>
      </c>
      <c r="S101">
        <f>IF(M101="Y",(D101+C101*(E101+F101)+G101)*Escalation!$B$7,0)</f>
        <v/>
      </c>
      <c r="T101">
        <f>SUM(N101:S101)</f>
        <v/>
      </c>
    </row>
    <row r="102">
      <c r="N102">
        <f>IF(H102="Y",(D102+C102*(E102+F102)+G102)*Escalation!$B$2,0)</f>
        <v/>
      </c>
      <c r="O102">
        <f>IF(I102="Y",(D102+C102*(E102+F102)+G102)*Escalation!$B$3,0)</f>
        <v/>
      </c>
      <c r="P102">
        <f>IF(J102="Y",(D102+C102*(E102+F102)+G102)*Escalation!$B$4,0)</f>
        <v/>
      </c>
      <c r="Q102">
        <f>IF(K102="Y",(D102+C102*(E102+F102)+G102)*Escalation!$B$5,0)</f>
        <v/>
      </c>
      <c r="R102">
        <f>IF(L102="Y",(D102+C102*(E102+F102)+G102)*Escalation!$B$6,0)</f>
        <v/>
      </c>
      <c r="S102">
        <f>IF(M102="Y",(D102+C102*(E102+F102)+G102)*Escalation!$B$7,0)</f>
        <v/>
      </c>
      <c r="T102">
        <f>SUM(N102:S102)</f>
        <v/>
      </c>
    </row>
    <row r="103">
      <c r="N103">
        <f>IF(H103="Y",(D103+C103*(E103+F103)+G103)*Escalation!$B$2,0)</f>
        <v/>
      </c>
      <c r="O103">
        <f>IF(I103="Y",(D103+C103*(E103+F103)+G103)*Escalation!$B$3,0)</f>
        <v/>
      </c>
      <c r="P103">
        <f>IF(J103="Y",(D103+C103*(E103+F103)+G103)*Escalation!$B$4,0)</f>
        <v/>
      </c>
      <c r="Q103">
        <f>IF(K103="Y",(D103+C103*(E103+F103)+G103)*Escalation!$B$5,0)</f>
        <v/>
      </c>
      <c r="R103">
        <f>IF(L103="Y",(D103+C103*(E103+F103)+G103)*Escalation!$B$6,0)</f>
        <v/>
      </c>
      <c r="S103">
        <f>IF(M103="Y",(D103+C103*(E103+F103)+G103)*Escalation!$B$7,0)</f>
        <v/>
      </c>
      <c r="T103">
        <f>SUM(N103:S103)</f>
        <v/>
      </c>
    </row>
    <row r="104">
      <c r="N104">
        <f>IF(H104="Y",(D104+C104*(E104+F104)+G104)*Escalation!$B$2,0)</f>
        <v/>
      </c>
      <c r="O104">
        <f>IF(I104="Y",(D104+C104*(E104+F104)+G104)*Escalation!$B$3,0)</f>
        <v/>
      </c>
      <c r="P104">
        <f>IF(J104="Y",(D104+C104*(E104+F104)+G104)*Escalation!$B$4,0)</f>
        <v/>
      </c>
      <c r="Q104">
        <f>IF(K104="Y",(D104+C104*(E104+F104)+G104)*Escalation!$B$5,0)</f>
        <v/>
      </c>
      <c r="R104">
        <f>IF(L104="Y",(D104+C104*(E104+F104)+G104)*Escalation!$B$6,0)</f>
        <v/>
      </c>
      <c r="S104">
        <f>IF(M104="Y",(D104+C104*(E104+F104)+G104)*Escalation!$B$7,0)</f>
        <v/>
      </c>
      <c r="T104">
        <f>SUM(N104:S104)</f>
        <v/>
      </c>
    </row>
    <row r="105">
      <c r="N105">
        <f>IF(H105="Y",(D105+C105*(E105+F105)+G105)*Escalation!$B$2,0)</f>
        <v/>
      </c>
      <c r="O105">
        <f>IF(I105="Y",(D105+C105*(E105+F105)+G105)*Escalation!$B$3,0)</f>
        <v/>
      </c>
      <c r="P105">
        <f>IF(J105="Y",(D105+C105*(E105+F105)+G105)*Escalation!$B$4,0)</f>
        <v/>
      </c>
      <c r="Q105">
        <f>IF(K105="Y",(D105+C105*(E105+F105)+G105)*Escalation!$B$5,0)</f>
        <v/>
      </c>
      <c r="R105">
        <f>IF(L105="Y",(D105+C105*(E105+F105)+G105)*Escalation!$B$6,0)</f>
        <v/>
      </c>
      <c r="S105">
        <f>IF(M105="Y",(D105+C105*(E105+F105)+G105)*Escalation!$B$7,0)</f>
        <v/>
      </c>
      <c r="T105">
        <f>SUM(N105:S105)</f>
        <v/>
      </c>
    </row>
    <row r="106">
      <c r="N106">
        <f>IF(H106="Y",(D106+C106*(E106+F106)+G106)*Escalation!$B$2,0)</f>
        <v/>
      </c>
      <c r="O106">
        <f>IF(I106="Y",(D106+C106*(E106+F106)+G106)*Escalation!$B$3,0)</f>
        <v/>
      </c>
      <c r="P106">
        <f>IF(J106="Y",(D106+C106*(E106+F106)+G106)*Escalation!$B$4,0)</f>
        <v/>
      </c>
      <c r="Q106">
        <f>IF(K106="Y",(D106+C106*(E106+F106)+G106)*Escalation!$B$5,0)</f>
        <v/>
      </c>
      <c r="R106">
        <f>IF(L106="Y",(D106+C106*(E106+F106)+G106)*Escalation!$B$6,0)</f>
        <v/>
      </c>
      <c r="S106">
        <f>IF(M106="Y",(D106+C106*(E106+F106)+G106)*Escalation!$B$7,0)</f>
        <v/>
      </c>
      <c r="T106">
        <f>SUM(N106:S106)</f>
        <v/>
      </c>
    </row>
    <row r="107">
      <c r="N107">
        <f>IF(H107="Y",(D107+C107*(E107+F107)+G107)*Escalation!$B$2,0)</f>
        <v/>
      </c>
      <c r="O107">
        <f>IF(I107="Y",(D107+C107*(E107+F107)+G107)*Escalation!$B$3,0)</f>
        <v/>
      </c>
      <c r="P107">
        <f>IF(J107="Y",(D107+C107*(E107+F107)+G107)*Escalation!$B$4,0)</f>
        <v/>
      </c>
      <c r="Q107">
        <f>IF(K107="Y",(D107+C107*(E107+F107)+G107)*Escalation!$B$5,0)</f>
        <v/>
      </c>
      <c r="R107">
        <f>IF(L107="Y",(D107+C107*(E107+F107)+G107)*Escalation!$B$6,0)</f>
        <v/>
      </c>
      <c r="S107">
        <f>IF(M107="Y",(D107+C107*(E107+F107)+G107)*Escalation!$B$7,0)</f>
        <v/>
      </c>
      <c r="T107">
        <f>SUM(N107:S107)</f>
        <v/>
      </c>
    </row>
    <row r="108">
      <c r="N108">
        <f>IF(H108="Y",(D108+C108*(E108+F108)+G108)*Escalation!$B$2,0)</f>
        <v/>
      </c>
      <c r="O108">
        <f>IF(I108="Y",(D108+C108*(E108+F108)+G108)*Escalation!$B$3,0)</f>
        <v/>
      </c>
      <c r="P108">
        <f>IF(J108="Y",(D108+C108*(E108+F108)+G108)*Escalation!$B$4,0)</f>
        <v/>
      </c>
      <c r="Q108">
        <f>IF(K108="Y",(D108+C108*(E108+F108)+G108)*Escalation!$B$5,0)</f>
        <v/>
      </c>
      <c r="R108">
        <f>IF(L108="Y",(D108+C108*(E108+F108)+G108)*Escalation!$B$6,0)</f>
        <v/>
      </c>
      <c r="S108">
        <f>IF(M108="Y",(D108+C108*(E108+F108)+G108)*Escalation!$B$7,0)</f>
        <v/>
      </c>
      <c r="T108">
        <f>SUM(N108:S108)</f>
        <v/>
      </c>
    </row>
    <row r="109">
      <c r="N109">
        <f>IF(H109="Y",(D109+C109*(E109+F109)+G109)*Escalation!$B$2,0)</f>
        <v/>
      </c>
      <c r="O109">
        <f>IF(I109="Y",(D109+C109*(E109+F109)+G109)*Escalation!$B$3,0)</f>
        <v/>
      </c>
      <c r="P109">
        <f>IF(J109="Y",(D109+C109*(E109+F109)+G109)*Escalation!$B$4,0)</f>
        <v/>
      </c>
      <c r="Q109">
        <f>IF(K109="Y",(D109+C109*(E109+F109)+G109)*Escalation!$B$5,0)</f>
        <v/>
      </c>
      <c r="R109">
        <f>IF(L109="Y",(D109+C109*(E109+F109)+G109)*Escalation!$B$6,0)</f>
        <v/>
      </c>
      <c r="S109">
        <f>IF(M109="Y",(D109+C109*(E109+F109)+G109)*Escalation!$B$7,0)</f>
        <v/>
      </c>
      <c r="T109">
        <f>SUM(N109:S109)</f>
        <v/>
      </c>
    </row>
    <row r="110">
      <c r="N110">
        <f>IF(H110="Y",(D110+C110*(E110+F110)+G110)*Escalation!$B$2,0)</f>
        <v/>
      </c>
      <c r="O110">
        <f>IF(I110="Y",(D110+C110*(E110+F110)+G110)*Escalation!$B$3,0)</f>
        <v/>
      </c>
      <c r="P110">
        <f>IF(J110="Y",(D110+C110*(E110+F110)+G110)*Escalation!$B$4,0)</f>
        <v/>
      </c>
      <c r="Q110">
        <f>IF(K110="Y",(D110+C110*(E110+F110)+G110)*Escalation!$B$5,0)</f>
        <v/>
      </c>
      <c r="R110">
        <f>IF(L110="Y",(D110+C110*(E110+F110)+G110)*Escalation!$B$6,0)</f>
        <v/>
      </c>
      <c r="S110">
        <f>IF(M110="Y",(D110+C110*(E110+F110)+G110)*Escalation!$B$7,0)</f>
        <v/>
      </c>
      <c r="T110">
        <f>SUM(N110:S110)</f>
        <v/>
      </c>
    </row>
    <row r="111">
      <c r="N111">
        <f>IF(H111="Y",(D111+C111*(E111+F111)+G111)*Escalation!$B$2,0)</f>
        <v/>
      </c>
      <c r="O111">
        <f>IF(I111="Y",(D111+C111*(E111+F111)+G111)*Escalation!$B$3,0)</f>
        <v/>
      </c>
      <c r="P111">
        <f>IF(J111="Y",(D111+C111*(E111+F111)+G111)*Escalation!$B$4,0)</f>
        <v/>
      </c>
      <c r="Q111">
        <f>IF(K111="Y",(D111+C111*(E111+F111)+G111)*Escalation!$B$5,0)</f>
        <v/>
      </c>
      <c r="R111">
        <f>IF(L111="Y",(D111+C111*(E111+F111)+G111)*Escalation!$B$6,0)</f>
        <v/>
      </c>
      <c r="S111">
        <f>IF(M111="Y",(D111+C111*(E111+F111)+G111)*Escalation!$B$7,0)</f>
        <v/>
      </c>
      <c r="T111">
        <f>SUM(N111:S111)</f>
        <v/>
      </c>
    </row>
    <row r="112">
      <c r="N112">
        <f>IF(H112="Y",(D112+C112*(E112+F112)+G112)*Escalation!$B$2,0)</f>
        <v/>
      </c>
      <c r="O112">
        <f>IF(I112="Y",(D112+C112*(E112+F112)+G112)*Escalation!$B$3,0)</f>
        <v/>
      </c>
      <c r="P112">
        <f>IF(J112="Y",(D112+C112*(E112+F112)+G112)*Escalation!$B$4,0)</f>
        <v/>
      </c>
      <c r="Q112">
        <f>IF(K112="Y",(D112+C112*(E112+F112)+G112)*Escalation!$B$5,0)</f>
        <v/>
      </c>
      <c r="R112">
        <f>IF(L112="Y",(D112+C112*(E112+F112)+G112)*Escalation!$B$6,0)</f>
        <v/>
      </c>
      <c r="S112">
        <f>IF(M112="Y",(D112+C112*(E112+F112)+G112)*Escalation!$B$7,0)</f>
        <v/>
      </c>
      <c r="T112">
        <f>SUM(N112:S112)</f>
        <v/>
      </c>
    </row>
    <row r="113">
      <c r="N113">
        <f>IF(H113="Y",(D113+C113*(E113+F113)+G113)*Escalation!$B$2,0)</f>
        <v/>
      </c>
      <c r="O113">
        <f>IF(I113="Y",(D113+C113*(E113+F113)+G113)*Escalation!$B$3,0)</f>
        <v/>
      </c>
      <c r="P113">
        <f>IF(J113="Y",(D113+C113*(E113+F113)+G113)*Escalation!$B$4,0)</f>
        <v/>
      </c>
      <c r="Q113">
        <f>IF(K113="Y",(D113+C113*(E113+F113)+G113)*Escalation!$B$5,0)</f>
        <v/>
      </c>
      <c r="R113">
        <f>IF(L113="Y",(D113+C113*(E113+F113)+G113)*Escalation!$B$6,0)</f>
        <v/>
      </c>
      <c r="S113">
        <f>IF(M113="Y",(D113+C113*(E113+F113)+G113)*Escalation!$B$7,0)</f>
        <v/>
      </c>
      <c r="T113">
        <f>SUM(N113:S113)</f>
        <v/>
      </c>
    </row>
    <row r="114">
      <c r="N114">
        <f>IF(H114="Y",(D114+C114*(E114+F114)+G114)*Escalation!$B$2,0)</f>
        <v/>
      </c>
      <c r="O114">
        <f>IF(I114="Y",(D114+C114*(E114+F114)+G114)*Escalation!$B$3,0)</f>
        <v/>
      </c>
      <c r="P114">
        <f>IF(J114="Y",(D114+C114*(E114+F114)+G114)*Escalation!$B$4,0)</f>
        <v/>
      </c>
      <c r="Q114">
        <f>IF(K114="Y",(D114+C114*(E114+F114)+G114)*Escalation!$B$5,0)</f>
        <v/>
      </c>
      <c r="R114">
        <f>IF(L114="Y",(D114+C114*(E114+F114)+G114)*Escalation!$B$6,0)</f>
        <v/>
      </c>
      <c r="S114">
        <f>IF(M114="Y",(D114+C114*(E114+F114)+G114)*Escalation!$B$7,0)</f>
        <v/>
      </c>
      <c r="T114">
        <f>SUM(N114:S114)</f>
        <v/>
      </c>
    </row>
    <row r="115">
      <c r="N115">
        <f>IF(H115="Y",(D115+C115*(E115+F115)+G115)*Escalation!$B$2,0)</f>
        <v/>
      </c>
      <c r="O115">
        <f>IF(I115="Y",(D115+C115*(E115+F115)+G115)*Escalation!$B$3,0)</f>
        <v/>
      </c>
      <c r="P115">
        <f>IF(J115="Y",(D115+C115*(E115+F115)+G115)*Escalation!$B$4,0)</f>
        <v/>
      </c>
      <c r="Q115">
        <f>IF(K115="Y",(D115+C115*(E115+F115)+G115)*Escalation!$B$5,0)</f>
        <v/>
      </c>
      <c r="R115">
        <f>IF(L115="Y",(D115+C115*(E115+F115)+G115)*Escalation!$B$6,0)</f>
        <v/>
      </c>
      <c r="S115">
        <f>IF(M115="Y",(D115+C115*(E115+F115)+G115)*Escalation!$B$7,0)</f>
        <v/>
      </c>
      <c r="T115">
        <f>SUM(N115:S115)</f>
        <v/>
      </c>
    </row>
    <row r="116">
      <c r="N116">
        <f>IF(H116="Y",(D116+C116*(E116+F116)+G116)*Escalation!$B$2,0)</f>
        <v/>
      </c>
      <c r="O116">
        <f>IF(I116="Y",(D116+C116*(E116+F116)+G116)*Escalation!$B$3,0)</f>
        <v/>
      </c>
      <c r="P116">
        <f>IF(J116="Y",(D116+C116*(E116+F116)+G116)*Escalation!$B$4,0)</f>
        <v/>
      </c>
      <c r="Q116">
        <f>IF(K116="Y",(D116+C116*(E116+F116)+G116)*Escalation!$B$5,0)</f>
        <v/>
      </c>
      <c r="R116">
        <f>IF(L116="Y",(D116+C116*(E116+F116)+G116)*Escalation!$B$6,0)</f>
        <v/>
      </c>
      <c r="S116">
        <f>IF(M116="Y",(D116+C116*(E116+F116)+G116)*Escalation!$B$7,0)</f>
        <v/>
      </c>
      <c r="T116">
        <f>SUM(N116:S116)</f>
        <v/>
      </c>
    </row>
    <row r="117">
      <c r="N117">
        <f>IF(H117="Y",(D117+C117*(E117+F117)+G117)*Escalation!$B$2,0)</f>
        <v/>
      </c>
      <c r="O117">
        <f>IF(I117="Y",(D117+C117*(E117+F117)+G117)*Escalation!$B$3,0)</f>
        <v/>
      </c>
      <c r="P117">
        <f>IF(J117="Y",(D117+C117*(E117+F117)+G117)*Escalation!$B$4,0)</f>
        <v/>
      </c>
      <c r="Q117">
        <f>IF(K117="Y",(D117+C117*(E117+F117)+G117)*Escalation!$B$5,0)</f>
        <v/>
      </c>
      <c r="R117">
        <f>IF(L117="Y",(D117+C117*(E117+F117)+G117)*Escalation!$B$6,0)</f>
        <v/>
      </c>
      <c r="S117">
        <f>IF(M117="Y",(D117+C117*(E117+F117)+G117)*Escalation!$B$7,0)</f>
        <v/>
      </c>
      <c r="T117">
        <f>SUM(N117:S117)</f>
        <v/>
      </c>
    </row>
    <row r="118">
      <c r="N118">
        <f>IF(H118="Y",(D118+C118*(E118+F118)+G118)*Escalation!$B$2,0)</f>
        <v/>
      </c>
      <c r="O118">
        <f>IF(I118="Y",(D118+C118*(E118+F118)+G118)*Escalation!$B$3,0)</f>
        <v/>
      </c>
      <c r="P118">
        <f>IF(J118="Y",(D118+C118*(E118+F118)+G118)*Escalation!$B$4,0)</f>
        <v/>
      </c>
      <c r="Q118">
        <f>IF(K118="Y",(D118+C118*(E118+F118)+G118)*Escalation!$B$5,0)</f>
        <v/>
      </c>
      <c r="R118">
        <f>IF(L118="Y",(D118+C118*(E118+F118)+G118)*Escalation!$B$6,0)</f>
        <v/>
      </c>
      <c r="S118">
        <f>IF(M118="Y",(D118+C118*(E118+F118)+G118)*Escalation!$B$7,0)</f>
        <v/>
      </c>
      <c r="T118">
        <f>SUM(N118:S118)</f>
        <v/>
      </c>
    </row>
    <row r="119">
      <c r="N119">
        <f>IF(H119="Y",(D119+C119*(E119+F119)+G119)*Escalation!$B$2,0)</f>
        <v/>
      </c>
      <c r="O119">
        <f>IF(I119="Y",(D119+C119*(E119+F119)+G119)*Escalation!$B$3,0)</f>
        <v/>
      </c>
      <c r="P119">
        <f>IF(J119="Y",(D119+C119*(E119+F119)+G119)*Escalation!$B$4,0)</f>
        <v/>
      </c>
      <c r="Q119">
        <f>IF(K119="Y",(D119+C119*(E119+F119)+G119)*Escalation!$B$5,0)</f>
        <v/>
      </c>
      <c r="R119">
        <f>IF(L119="Y",(D119+C119*(E119+F119)+G119)*Escalation!$B$6,0)</f>
        <v/>
      </c>
      <c r="S119">
        <f>IF(M119="Y",(D119+C119*(E119+F119)+G119)*Escalation!$B$7,0)</f>
        <v/>
      </c>
      <c r="T119">
        <f>SUM(N119:S119)</f>
        <v/>
      </c>
    </row>
    <row r="120">
      <c r="N120">
        <f>IF(H120="Y",(D120+C120*(E120+F120)+G120)*Escalation!$B$2,0)</f>
        <v/>
      </c>
      <c r="O120">
        <f>IF(I120="Y",(D120+C120*(E120+F120)+G120)*Escalation!$B$3,0)</f>
        <v/>
      </c>
      <c r="P120">
        <f>IF(J120="Y",(D120+C120*(E120+F120)+G120)*Escalation!$B$4,0)</f>
        <v/>
      </c>
      <c r="Q120">
        <f>IF(K120="Y",(D120+C120*(E120+F120)+G120)*Escalation!$B$5,0)</f>
        <v/>
      </c>
      <c r="R120">
        <f>IF(L120="Y",(D120+C120*(E120+F120)+G120)*Escalation!$B$6,0)</f>
        <v/>
      </c>
      <c r="S120">
        <f>IF(M120="Y",(D120+C120*(E120+F120)+G120)*Escalation!$B$7,0)</f>
        <v/>
      </c>
      <c r="T120">
        <f>SUM(N120:S120)</f>
        <v/>
      </c>
    </row>
    <row r="121">
      <c r="N121">
        <f>IF(H121="Y",(D121+C121*(E121+F121)+G121)*Escalation!$B$2,0)</f>
        <v/>
      </c>
      <c r="O121">
        <f>IF(I121="Y",(D121+C121*(E121+F121)+G121)*Escalation!$B$3,0)</f>
        <v/>
      </c>
      <c r="P121">
        <f>IF(J121="Y",(D121+C121*(E121+F121)+G121)*Escalation!$B$4,0)</f>
        <v/>
      </c>
      <c r="Q121">
        <f>IF(K121="Y",(D121+C121*(E121+F121)+G121)*Escalation!$B$5,0)</f>
        <v/>
      </c>
      <c r="R121">
        <f>IF(L121="Y",(D121+C121*(E121+F121)+G121)*Escalation!$B$6,0)</f>
        <v/>
      </c>
      <c r="S121">
        <f>IF(M121="Y",(D121+C121*(E121+F121)+G121)*Escalation!$B$7,0)</f>
        <v/>
      </c>
      <c r="T121">
        <f>SUM(N121:S121)</f>
        <v/>
      </c>
    </row>
    <row r="122">
      <c r="N122">
        <f>IF(H122="Y",(D122+C122*(E122+F122)+G122)*Escalation!$B$2,0)</f>
        <v/>
      </c>
      <c r="O122">
        <f>IF(I122="Y",(D122+C122*(E122+F122)+G122)*Escalation!$B$3,0)</f>
        <v/>
      </c>
      <c r="P122">
        <f>IF(J122="Y",(D122+C122*(E122+F122)+G122)*Escalation!$B$4,0)</f>
        <v/>
      </c>
      <c r="Q122">
        <f>IF(K122="Y",(D122+C122*(E122+F122)+G122)*Escalation!$B$5,0)</f>
        <v/>
      </c>
      <c r="R122">
        <f>IF(L122="Y",(D122+C122*(E122+F122)+G122)*Escalation!$B$6,0)</f>
        <v/>
      </c>
      <c r="S122">
        <f>IF(M122="Y",(D122+C122*(E122+F122)+G122)*Escalation!$B$7,0)</f>
        <v/>
      </c>
      <c r="T122">
        <f>SUM(N122:S122)</f>
        <v/>
      </c>
    </row>
    <row r="123">
      <c r="N123">
        <f>IF(H123="Y",(D123+C123*(E123+F123)+G123)*Escalation!$B$2,0)</f>
        <v/>
      </c>
      <c r="O123">
        <f>IF(I123="Y",(D123+C123*(E123+F123)+G123)*Escalation!$B$3,0)</f>
        <v/>
      </c>
      <c r="P123">
        <f>IF(J123="Y",(D123+C123*(E123+F123)+G123)*Escalation!$B$4,0)</f>
        <v/>
      </c>
      <c r="Q123">
        <f>IF(K123="Y",(D123+C123*(E123+F123)+G123)*Escalation!$B$5,0)</f>
        <v/>
      </c>
      <c r="R123">
        <f>IF(L123="Y",(D123+C123*(E123+F123)+G123)*Escalation!$B$6,0)</f>
        <v/>
      </c>
      <c r="S123">
        <f>IF(M123="Y",(D123+C123*(E123+F123)+G123)*Escalation!$B$7,0)</f>
        <v/>
      </c>
      <c r="T123">
        <f>SUM(N123:S123)</f>
        <v/>
      </c>
    </row>
    <row r="124">
      <c r="N124">
        <f>IF(H124="Y",(D124+C124*(E124+F124)+G124)*Escalation!$B$2,0)</f>
        <v/>
      </c>
      <c r="O124">
        <f>IF(I124="Y",(D124+C124*(E124+F124)+G124)*Escalation!$B$3,0)</f>
        <v/>
      </c>
      <c r="P124">
        <f>IF(J124="Y",(D124+C124*(E124+F124)+G124)*Escalation!$B$4,0)</f>
        <v/>
      </c>
      <c r="Q124">
        <f>IF(K124="Y",(D124+C124*(E124+F124)+G124)*Escalation!$B$5,0)</f>
        <v/>
      </c>
      <c r="R124">
        <f>IF(L124="Y",(D124+C124*(E124+F124)+G124)*Escalation!$B$6,0)</f>
        <v/>
      </c>
      <c r="S124">
        <f>IF(M124="Y",(D124+C124*(E124+F124)+G124)*Escalation!$B$7,0)</f>
        <v/>
      </c>
      <c r="T124">
        <f>SUM(N124:S124)</f>
        <v/>
      </c>
    </row>
    <row r="125">
      <c r="N125">
        <f>IF(H125="Y",(D125+C125*(E125+F125)+G125)*Escalation!$B$2,0)</f>
        <v/>
      </c>
      <c r="O125">
        <f>IF(I125="Y",(D125+C125*(E125+F125)+G125)*Escalation!$B$3,0)</f>
        <v/>
      </c>
      <c r="P125">
        <f>IF(J125="Y",(D125+C125*(E125+F125)+G125)*Escalation!$B$4,0)</f>
        <v/>
      </c>
      <c r="Q125">
        <f>IF(K125="Y",(D125+C125*(E125+F125)+G125)*Escalation!$B$5,0)</f>
        <v/>
      </c>
      <c r="R125">
        <f>IF(L125="Y",(D125+C125*(E125+F125)+G125)*Escalation!$B$6,0)</f>
        <v/>
      </c>
      <c r="S125">
        <f>IF(M125="Y",(D125+C125*(E125+F125)+G125)*Escalation!$B$7,0)</f>
        <v/>
      </c>
      <c r="T125">
        <f>SUM(N125:S125)</f>
        <v/>
      </c>
    </row>
    <row r="126">
      <c r="N126">
        <f>IF(H126="Y",(D126+C126*(E126+F126)+G126)*Escalation!$B$2,0)</f>
        <v/>
      </c>
      <c r="O126">
        <f>IF(I126="Y",(D126+C126*(E126+F126)+G126)*Escalation!$B$3,0)</f>
        <v/>
      </c>
      <c r="P126">
        <f>IF(J126="Y",(D126+C126*(E126+F126)+G126)*Escalation!$B$4,0)</f>
        <v/>
      </c>
      <c r="Q126">
        <f>IF(K126="Y",(D126+C126*(E126+F126)+G126)*Escalation!$B$5,0)</f>
        <v/>
      </c>
      <c r="R126">
        <f>IF(L126="Y",(D126+C126*(E126+F126)+G126)*Escalation!$B$6,0)</f>
        <v/>
      </c>
      <c r="S126">
        <f>IF(M126="Y",(D126+C126*(E126+F126)+G126)*Escalation!$B$7,0)</f>
        <v/>
      </c>
      <c r="T126">
        <f>SUM(N126:S126)</f>
        <v/>
      </c>
    </row>
    <row r="127">
      <c r="N127">
        <f>IF(H127="Y",(D127+C127*(E127+F127)+G127)*Escalation!$B$2,0)</f>
        <v/>
      </c>
      <c r="O127">
        <f>IF(I127="Y",(D127+C127*(E127+F127)+G127)*Escalation!$B$3,0)</f>
        <v/>
      </c>
      <c r="P127">
        <f>IF(J127="Y",(D127+C127*(E127+F127)+G127)*Escalation!$B$4,0)</f>
        <v/>
      </c>
      <c r="Q127">
        <f>IF(K127="Y",(D127+C127*(E127+F127)+G127)*Escalation!$B$5,0)</f>
        <v/>
      </c>
      <c r="R127">
        <f>IF(L127="Y",(D127+C127*(E127+F127)+G127)*Escalation!$B$6,0)</f>
        <v/>
      </c>
      <c r="S127">
        <f>IF(M127="Y",(D127+C127*(E127+F127)+G127)*Escalation!$B$7,0)</f>
        <v/>
      </c>
      <c r="T127">
        <f>SUM(N127:S127)</f>
        <v/>
      </c>
    </row>
    <row r="128">
      <c r="N128">
        <f>IF(H128="Y",(D128+C128*(E128+F128)+G128)*Escalation!$B$2,0)</f>
        <v/>
      </c>
      <c r="O128">
        <f>IF(I128="Y",(D128+C128*(E128+F128)+G128)*Escalation!$B$3,0)</f>
        <v/>
      </c>
      <c r="P128">
        <f>IF(J128="Y",(D128+C128*(E128+F128)+G128)*Escalation!$B$4,0)</f>
        <v/>
      </c>
      <c r="Q128">
        <f>IF(K128="Y",(D128+C128*(E128+F128)+G128)*Escalation!$B$5,0)</f>
        <v/>
      </c>
      <c r="R128">
        <f>IF(L128="Y",(D128+C128*(E128+F128)+G128)*Escalation!$B$6,0)</f>
        <v/>
      </c>
      <c r="S128">
        <f>IF(M128="Y",(D128+C128*(E128+F128)+G128)*Escalation!$B$7,0)</f>
        <v/>
      </c>
      <c r="T128">
        <f>SUM(N128:S128)</f>
        <v/>
      </c>
    </row>
    <row r="129">
      <c r="N129">
        <f>IF(H129="Y",(D129+C129*(E129+F129)+G129)*Escalation!$B$2,0)</f>
        <v/>
      </c>
      <c r="O129">
        <f>IF(I129="Y",(D129+C129*(E129+F129)+G129)*Escalation!$B$3,0)</f>
        <v/>
      </c>
      <c r="P129">
        <f>IF(J129="Y",(D129+C129*(E129+F129)+G129)*Escalation!$B$4,0)</f>
        <v/>
      </c>
      <c r="Q129">
        <f>IF(K129="Y",(D129+C129*(E129+F129)+G129)*Escalation!$B$5,0)</f>
        <v/>
      </c>
      <c r="R129">
        <f>IF(L129="Y",(D129+C129*(E129+F129)+G129)*Escalation!$B$6,0)</f>
        <v/>
      </c>
      <c r="S129">
        <f>IF(M129="Y",(D129+C129*(E129+F129)+G129)*Escalation!$B$7,0)</f>
        <v/>
      </c>
      <c r="T129">
        <f>SUM(N129:S129)</f>
        <v/>
      </c>
    </row>
    <row r="130">
      <c r="N130">
        <f>IF(H130="Y",(D130+C130*(E130+F130)+G130)*Escalation!$B$2,0)</f>
        <v/>
      </c>
      <c r="O130">
        <f>IF(I130="Y",(D130+C130*(E130+F130)+G130)*Escalation!$B$3,0)</f>
        <v/>
      </c>
      <c r="P130">
        <f>IF(J130="Y",(D130+C130*(E130+F130)+G130)*Escalation!$B$4,0)</f>
        <v/>
      </c>
      <c r="Q130">
        <f>IF(K130="Y",(D130+C130*(E130+F130)+G130)*Escalation!$B$5,0)</f>
        <v/>
      </c>
      <c r="R130">
        <f>IF(L130="Y",(D130+C130*(E130+F130)+G130)*Escalation!$B$6,0)</f>
        <v/>
      </c>
      <c r="S130">
        <f>IF(M130="Y",(D130+C130*(E130+F130)+G130)*Escalation!$B$7,0)</f>
        <v/>
      </c>
      <c r="T130">
        <f>SUM(N130:S130)</f>
        <v/>
      </c>
    </row>
    <row r="131">
      <c r="N131">
        <f>IF(H131="Y",(D131+C131*(E131+F131)+G131)*Escalation!$B$2,0)</f>
        <v/>
      </c>
      <c r="O131">
        <f>IF(I131="Y",(D131+C131*(E131+F131)+G131)*Escalation!$B$3,0)</f>
        <v/>
      </c>
      <c r="P131">
        <f>IF(J131="Y",(D131+C131*(E131+F131)+G131)*Escalation!$B$4,0)</f>
        <v/>
      </c>
      <c r="Q131">
        <f>IF(K131="Y",(D131+C131*(E131+F131)+G131)*Escalation!$B$5,0)</f>
        <v/>
      </c>
      <c r="R131">
        <f>IF(L131="Y",(D131+C131*(E131+F131)+G131)*Escalation!$B$6,0)</f>
        <v/>
      </c>
      <c r="S131">
        <f>IF(M131="Y",(D131+C131*(E131+F131)+G131)*Escalation!$B$7,0)</f>
        <v/>
      </c>
      <c r="T131">
        <f>SUM(N131:S131)</f>
        <v/>
      </c>
    </row>
    <row r="132">
      <c r="N132">
        <f>IF(H132="Y",(D132+C132*(E132+F132)+G132)*Escalation!$B$2,0)</f>
        <v/>
      </c>
      <c r="O132">
        <f>IF(I132="Y",(D132+C132*(E132+F132)+G132)*Escalation!$B$3,0)</f>
        <v/>
      </c>
      <c r="P132">
        <f>IF(J132="Y",(D132+C132*(E132+F132)+G132)*Escalation!$B$4,0)</f>
        <v/>
      </c>
      <c r="Q132">
        <f>IF(K132="Y",(D132+C132*(E132+F132)+G132)*Escalation!$B$5,0)</f>
        <v/>
      </c>
      <c r="R132">
        <f>IF(L132="Y",(D132+C132*(E132+F132)+G132)*Escalation!$B$6,0)</f>
        <v/>
      </c>
      <c r="S132">
        <f>IF(M132="Y",(D132+C132*(E132+F132)+G132)*Escalation!$B$7,0)</f>
        <v/>
      </c>
      <c r="T132">
        <f>SUM(N132:S132)</f>
        <v/>
      </c>
    </row>
    <row r="133">
      <c r="N133">
        <f>IF(H133="Y",(D133+C133*(E133+F133)+G133)*Escalation!$B$2,0)</f>
        <v/>
      </c>
      <c r="O133">
        <f>IF(I133="Y",(D133+C133*(E133+F133)+G133)*Escalation!$B$3,0)</f>
        <v/>
      </c>
      <c r="P133">
        <f>IF(J133="Y",(D133+C133*(E133+F133)+G133)*Escalation!$B$4,0)</f>
        <v/>
      </c>
      <c r="Q133">
        <f>IF(K133="Y",(D133+C133*(E133+F133)+G133)*Escalation!$B$5,0)</f>
        <v/>
      </c>
      <c r="R133">
        <f>IF(L133="Y",(D133+C133*(E133+F133)+G133)*Escalation!$B$6,0)</f>
        <v/>
      </c>
      <c r="S133">
        <f>IF(M133="Y",(D133+C133*(E133+F133)+G133)*Escalation!$B$7,0)</f>
        <v/>
      </c>
      <c r="T133">
        <f>SUM(N133:S133)</f>
        <v/>
      </c>
    </row>
    <row r="134">
      <c r="N134">
        <f>IF(H134="Y",(D134+C134*(E134+F134)+G134)*Escalation!$B$2,0)</f>
        <v/>
      </c>
      <c r="O134">
        <f>IF(I134="Y",(D134+C134*(E134+F134)+G134)*Escalation!$B$3,0)</f>
        <v/>
      </c>
      <c r="P134">
        <f>IF(J134="Y",(D134+C134*(E134+F134)+G134)*Escalation!$B$4,0)</f>
        <v/>
      </c>
      <c r="Q134">
        <f>IF(K134="Y",(D134+C134*(E134+F134)+G134)*Escalation!$B$5,0)</f>
        <v/>
      </c>
      <c r="R134">
        <f>IF(L134="Y",(D134+C134*(E134+F134)+G134)*Escalation!$B$6,0)</f>
        <v/>
      </c>
      <c r="S134">
        <f>IF(M134="Y",(D134+C134*(E134+F134)+G134)*Escalation!$B$7,0)</f>
        <v/>
      </c>
      <c r="T134">
        <f>SUM(N134:S134)</f>
        <v/>
      </c>
    </row>
    <row r="135">
      <c r="N135">
        <f>IF(H135="Y",(D135+C135*(E135+F135)+G135)*Escalation!$B$2,0)</f>
        <v/>
      </c>
      <c r="O135">
        <f>IF(I135="Y",(D135+C135*(E135+F135)+G135)*Escalation!$B$3,0)</f>
        <v/>
      </c>
      <c r="P135">
        <f>IF(J135="Y",(D135+C135*(E135+F135)+G135)*Escalation!$B$4,0)</f>
        <v/>
      </c>
      <c r="Q135">
        <f>IF(K135="Y",(D135+C135*(E135+F135)+G135)*Escalation!$B$5,0)</f>
        <v/>
      </c>
      <c r="R135">
        <f>IF(L135="Y",(D135+C135*(E135+F135)+G135)*Escalation!$B$6,0)</f>
        <v/>
      </c>
      <c r="S135">
        <f>IF(M135="Y",(D135+C135*(E135+F135)+G135)*Escalation!$B$7,0)</f>
        <v/>
      </c>
      <c r="T135">
        <f>SUM(N135:S135)</f>
        <v/>
      </c>
    </row>
    <row r="136">
      <c r="N136">
        <f>IF(H136="Y",(D136+C136*(E136+F136)+G136)*Escalation!$B$2,0)</f>
        <v/>
      </c>
      <c r="O136">
        <f>IF(I136="Y",(D136+C136*(E136+F136)+G136)*Escalation!$B$3,0)</f>
        <v/>
      </c>
      <c r="P136">
        <f>IF(J136="Y",(D136+C136*(E136+F136)+G136)*Escalation!$B$4,0)</f>
        <v/>
      </c>
      <c r="Q136">
        <f>IF(K136="Y",(D136+C136*(E136+F136)+G136)*Escalation!$B$5,0)</f>
        <v/>
      </c>
      <c r="R136">
        <f>IF(L136="Y",(D136+C136*(E136+F136)+G136)*Escalation!$B$6,0)</f>
        <v/>
      </c>
      <c r="S136">
        <f>IF(M136="Y",(D136+C136*(E136+F136)+G136)*Escalation!$B$7,0)</f>
        <v/>
      </c>
      <c r="T136">
        <f>SUM(N136:S136)</f>
        <v/>
      </c>
    </row>
    <row r="137">
      <c r="N137">
        <f>IF(H137="Y",(D137+C137*(E137+F137)+G137)*Escalation!$B$2,0)</f>
        <v/>
      </c>
      <c r="O137">
        <f>IF(I137="Y",(D137+C137*(E137+F137)+G137)*Escalation!$B$3,0)</f>
        <v/>
      </c>
      <c r="P137">
        <f>IF(J137="Y",(D137+C137*(E137+F137)+G137)*Escalation!$B$4,0)</f>
        <v/>
      </c>
      <c r="Q137">
        <f>IF(K137="Y",(D137+C137*(E137+F137)+G137)*Escalation!$B$5,0)</f>
        <v/>
      </c>
      <c r="R137">
        <f>IF(L137="Y",(D137+C137*(E137+F137)+G137)*Escalation!$B$6,0)</f>
        <v/>
      </c>
      <c r="S137">
        <f>IF(M137="Y",(D137+C137*(E137+F137)+G137)*Escalation!$B$7,0)</f>
        <v/>
      </c>
      <c r="T137">
        <f>SUM(N137:S137)</f>
        <v/>
      </c>
    </row>
    <row r="138">
      <c r="N138">
        <f>IF(H138="Y",(D138+C138*(E138+F138)+G138)*Escalation!$B$2,0)</f>
        <v/>
      </c>
      <c r="O138">
        <f>IF(I138="Y",(D138+C138*(E138+F138)+G138)*Escalation!$B$3,0)</f>
        <v/>
      </c>
      <c r="P138">
        <f>IF(J138="Y",(D138+C138*(E138+F138)+G138)*Escalation!$B$4,0)</f>
        <v/>
      </c>
      <c r="Q138">
        <f>IF(K138="Y",(D138+C138*(E138+F138)+G138)*Escalation!$B$5,0)</f>
        <v/>
      </c>
      <c r="R138">
        <f>IF(L138="Y",(D138+C138*(E138+F138)+G138)*Escalation!$B$6,0)</f>
        <v/>
      </c>
      <c r="S138">
        <f>IF(M138="Y",(D138+C138*(E138+F138)+G138)*Escalation!$B$7,0)</f>
        <v/>
      </c>
      <c r="T138">
        <f>SUM(N138:S138)</f>
        <v/>
      </c>
    </row>
    <row r="139">
      <c r="N139">
        <f>IF(H139="Y",(D139+C139*(E139+F139)+G139)*Escalation!$B$2,0)</f>
        <v/>
      </c>
      <c r="O139">
        <f>IF(I139="Y",(D139+C139*(E139+F139)+G139)*Escalation!$B$3,0)</f>
        <v/>
      </c>
      <c r="P139">
        <f>IF(J139="Y",(D139+C139*(E139+F139)+G139)*Escalation!$B$4,0)</f>
        <v/>
      </c>
      <c r="Q139">
        <f>IF(K139="Y",(D139+C139*(E139+F139)+G139)*Escalation!$B$5,0)</f>
        <v/>
      </c>
      <c r="R139">
        <f>IF(L139="Y",(D139+C139*(E139+F139)+G139)*Escalation!$B$6,0)</f>
        <v/>
      </c>
      <c r="S139">
        <f>IF(M139="Y",(D139+C139*(E139+F139)+G139)*Escalation!$B$7,0)</f>
        <v/>
      </c>
      <c r="T139">
        <f>SUM(N139:S139)</f>
        <v/>
      </c>
    </row>
    <row r="140">
      <c r="N140">
        <f>IF(H140="Y",(D140+C140*(E140+F140)+G140)*Escalation!$B$2,0)</f>
        <v/>
      </c>
      <c r="O140">
        <f>IF(I140="Y",(D140+C140*(E140+F140)+G140)*Escalation!$B$3,0)</f>
        <v/>
      </c>
      <c r="P140">
        <f>IF(J140="Y",(D140+C140*(E140+F140)+G140)*Escalation!$B$4,0)</f>
        <v/>
      </c>
      <c r="Q140">
        <f>IF(K140="Y",(D140+C140*(E140+F140)+G140)*Escalation!$B$5,0)</f>
        <v/>
      </c>
      <c r="R140">
        <f>IF(L140="Y",(D140+C140*(E140+F140)+G140)*Escalation!$B$6,0)</f>
        <v/>
      </c>
      <c r="S140">
        <f>IF(M140="Y",(D140+C140*(E140+F140)+G140)*Escalation!$B$7,0)</f>
        <v/>
      </c>
      <c r="T140">
        <f>SUM(N140:S140)</f>
        <v/>
      </c>
    </row>
    <row r="141">
      <c r="N141">
        <f>IF(H141="Y",(D141+C141*(E141+F141)+G141)*Escalation!$B$2,0)</f>
        <v/>
      </c>
      <c r="O141">
        <f>IF(I141="Y",(D141+C141*(E141+F141)+G141)*Escalation!$B$3,0)</f>
        <v/>
      </c>
      <c r="P141">
        <f>IF(J141="Y",(D141+C141*(E141+F141)+G141)*Escalation!$B$4,0)</f>
        <v/>
      </c>
      <c r="Q141">
        <f>IF(K141="Y",(D141+C141*(E141+F141)+G141)*Escalation!$B$5,0)</f>
        <v/>
      </c>
      <c r="R141">
        <f>IF(L141="Y",(D141+C141*(E141+F141)+G141)*Escalation!$B$6,0)</f>
        <v/>
      </c>
      <c r="S141">
        <f>IF(M141="Y",(D141+C141*(E141+F141)+G141)*Escalation!$B$7,0)</f>
        <v/>
      </c>
      <c r="T141">
        <f>SUM(N141:S141)</f>
        <v/>
      </c>
    </row>
    <row r="142">
      <c r="N142">
        <f>IF(H142="Y",(D142+C142*(E142+F142)+G142)*Escalation!$B$2,0)</f>
        <v/>
      </c>
      <c r="O142">
        <f>IF(I142="Y",(D142+C142*(E142+F142)+G142)*Escalation!$B$3,0)</f>
        <v/>
      </c>
      <c r="P142">
        <f>IF(J142="Y",(D142+C142*(E142+F142)+G142)*Escalation!$B$4,0)</f>
        <v/>
      </c>
      <c r="Q142">
        <f>IF(K142="Y",(D142+C142*(E142+F142)+G142)*Escalation!$B$5,0)</f>
        <v/>
      </c>
      <c r="R142">
        <f>IF(L142="Y",(D142+C142*(E142+F142)+G142)*Escalation!$B$6,0)</f>
        <v/>
      </c>
      <c r="S142">
        <f>IF(M142="Y",(D142+C142*(E142+F142)+G142)*Escalation!$B$7,0)</f>
        <v/>
      </c>
      <c r="T142">
        <f>SUM(N142:S142)</f>
        <v/>
      </c>
    </row>
    <row r="143">
      <c r="N143">
        <f>IF(H143="Y",(D143+C143*(E143+F143)+G143)*Escalation!$B$2,0)</f>
        <v/>
      </c>
      <c r="O143">
        <f>IF(I143="Y",(D143+C143*(E143+F143)+G143)*Escalation!$B$3,0)</f>
        <v/>
      </c>
      <c r="P143">
        <f>IF(J143="Y",(D143+C143*(E143+F143)+G143)*Escalation!$B$4,0)</f>
        <v/>
      </c>
      <c r="Q143">
        <f>IF(K143="Y",(D143+C143*(E143+F143)+G143)*Escalation!$B$5,0)</f>
        <v/>
      </c>
      <c r="R143">
        <f>IF(L143="Y",(D143+C143*(E143+F143)+G143)*Escalation!$B$6,0)</f>
        <v/>
      </c>
      <c r="S143">
        <f>IF(M143="Y",(D143+C143*(E143+F143)+G143)*Escalation!$B$7,0)</f>
        <v/>
      </c>
      <c r="T143">
        <f>SUM(N143:S143)</f>
        <v/>
      </c>
    </row>
    <row r="144">
      <c r="N144">
        <f>IF(H144="Y",(D144+C144*(E144+F144)+G144)*Escalation!$B$2,0)</f>
        <v/>
      </c>
      <c r="O144">
        <f>IF(I144="Y",(D144+C144*(E144+F144)+G144)*Escalation!$B$3,0)</f>
        <v/>
      </c>
      <c r="P144">
        <f>IF(J144="Y",(D144+C144*(E144+F144)+G144)*Escalation!$B$4,0)</f>
        <v/>
      </c>
      <c r="Q144">
        <f>IF(K144="Y",(D144+C144*(E144+F144)+G144)*Escalation!$B$5,0)</f>
        <v/>
      </c>
      <c r="R144">
        <f>IF(L144="Y",(D144+C144*(E144+F144)+G144)*Escalation!$B$6,0)</f>
        <v/>
      </c>
      <c r="S144">
        <f>IF(M144="Y",(D144+C144*(E144+F144)+G144)*Escalation!$B$7,0)</f>
        <v/>
      </c>
      <c r="T144">
        <f>SUM(N144:S144)</f>
        <v/>
      </c>
    </row>
    <row r="145">
      <c r="N145">
        <f>IF(H145="Y",(D145+C145*(E145+F145)+G145)*Escalation!$B$2,0)</f>
        <v/>
      </c>
      <c r="O145">
        <f>IF(I145="Y",(D145+C145*(E145+F145)+G145)*Escalation!$B$3,0)</f>
        <v/>
      </c>
      <c r="P145">
        <f>IF(J145="Y",(D145+C145*(E145+F145)+G145)*Escalation!$B$4,0)</f>
        <v/>
      </c>
      <c r="Q145">
        <f>IF(K145="Y",(D145+C145*(E145+F145)+G145)*Escalation!$B$5,0)</f>
        <v/>
      </c>
      <c r="R145">
        <f>IF(L145="Y",(D145+C145*(E145+F145)+G145)*Escalation!$B$6,0)</f>
        <v/>
      </c>
      <c r="S145">
        <f>IF(M145="Y",(D145+C145*(E145+F145)+G145)*Escalation!$B$7,0)</f>
        <v/>
      </c>
      <c r="T145">
        <f>SUM(N145:S145)</f>
        <v/>
      </c>
    </row>
    <row r="146">
      <c r="N146">
        <f>IF(H146="Y",(D146+C146*(E146+F146)+G146)*Escalation!$B$2,0)</f>
        <v/>
      </c>
      <c r="O146">
        <f>IF(I146="Y",(D146+C146*(E146+F146)+G146)*Escalation!$B$3,0)</f>
        <v/>
      </c>
      <c r="P146">
        <f>IF(J146="Y",(D146+C146*(E146+F146)+G146)*Escalation!$B$4,0)</f>
        <v/>
      </c>
      <c r="Q146">
        <f>IF(K146="Y",(D146+C146*(E146+F146)+G146)*Escalation!$B$5,0)</f>
        <v/>
      </c>
      <c r="R146">
        <f>IF(L146="Y",(D146+C146*(E146+F146)+G146)*Escalation!$B$6,0)</f>
        <v/>
      </c>
      <c r="S146">
        <f>IF(M146="Y",(D146+C146*(E146+F146)+G146)*Escalation!$B$7,0)</f>
        <v/>
      </c>
      <c r="T146">
        <f>SUM(N146:S146)</f>
        <v/>
      </c>
    </row>
    <row r="147">
      <c r="N147">
        <f>IF(H147="Y",(D147+C147*(E147+F147)+G147)*Escalation!$B$2,0)</f>
        <v/>
      </c>
      <c r="O147">
        <f>IF(I147="Y",(D147+C147*(E147+F147)+G147)*Escalation!$B$3,0)</f>
        <v/>
      </c>
      <c r="P147">
        <f>IF(J147="Y",(D147+C147*(E147+F147)+G147)*Escalation!$B$4,0)</f>
        <v/>
      </c>
      <c r="Q147">
        <f>IF(K147="Y",(D147+C147*(E147+F147)+G147)*Escalation!$B$5,0)</f>
        <v/>
      </c>
      <c r="R147">
        <f>IF(L147="Y",(D147+C147*(E147+F147)+G147)*Escalation!$B$6,0)</f>
        <v/>
      </c>
      <c r="S147">
        <f>IF(M147="Y",(D147+C147*(E147+F147)+G147)*Escalation!$B$7,0)</f>
        <v/>
      </c>
      <c r="T147">
        <f>SUM(N147:S147)</f>
        <v/>
      </c>
    </row>
    <row r="148">
      <c r="N148">
        <f>IF(H148="Y",(D148+C148*(E148+F148)+G148)*Escalation!$B$2,0)</f>
        <v/>
      </c>
      <c r="O148">
        <f>IF(I148="Y",(D148+C148*(E148+F148)+G148)*Escalation!$B$3,0)</f>
        <v/>
      </c>
      <c r="P148">
        <f>IF(J148="Y",(D148+C148*(E148+F148)+G148)*Escalation!$B$4,0)</f>
        <v/>
      </c>
      <c r="Q148">
        <f>IF(K148="Y",(D148+C148*(E148+F148)+G148)*Escalation!$B$5,0)</f>
        <v/>
      </c>
      <c r="R148">
        <f>IF(L148="Y",(D148+C148*(E148+F148)+G148)*Escalation!$B$6,0)</f>
        <v/>
      </c>
      <c r="S148">
        <f>IF(M148="Y",(D148+C148*(E148+F148)+G148)*Escalation!$B$7,0)</f>
        <v/>
      </c>
      <c r="T148">
        <f>SUM(N148:S148)</f>
        <v/>
      </c>
    </row>
    <row r="149">
      <c r="N149">
        <f>IF(H149="Y",(D149+C149*(E149+F149)+G149)*Escalation!$B$2,0)</f>
        <v/>
      </c>
      <c r="O149">
        <f>IF(I149="Y",(D149+C149*(E149+F149)+G149)*Escalation!$B$3,0)</f>
        <v/>
      </c>
      <c r="P149">
        <f>IF(J149="Y",(D149+C149*(E149+F149)+G149)*Escalation!$B$4,0)</f>
        <v/>
      </c>
      <c r="Q149">
        <f>IF(K149="Y",(D149+C149*(E149+F149)+G149)*Escalation!$B$5,0)</f>
        <v/>
      </c>
      <c r="R149">
        <f>IF(L149="Y",(D149+C149*(E149+F149)+G149)*Escalation!$B$6,0)</f>
        <v/>
      </c>
      <c r="S149">
        <f>IF(M149="Y",(D149+C149*(E149+F149)+G149)*Escalation!$B$7,0)</f>
        <v/>
      </c>
      <c r="T149">
        <f>SUM(N149:S149)</f>
        <v/>
      </c>
    </row>
    <row r="150">
      <c r="N150">
        <f>IF(H150="Y",(D150+C150*(E150+F150)+G150)*Escalation!$B$2,0)</f>
        <v/>
      </c>
      <c r="O150">
        <f>IF(I150="Y",(D150+C150*(E150+F150)+G150)*Escalation!$B$3,0)</f>
        <v/>
      </c>
      <c r="P150">
        <f>IF(J150="Y",(D150+C150*(E150+F150)+G150)*Escalation!$B$4,0)</f>
        <v/>
      </c>
      <c r="Q150">
        <f>IF(K150="Y",(D150+C150*(E150+F150)+G150)*Escalation!$B$5,0)</f>
        <v/>
      </c>
      <c r="R150">
        <f>IF(L150="Y",(D150+C150*(E150+F150)+G150)*Escalation!$B$6,0)</f>
        <v/>
      </c>
      <c r="S150">
        <f>IF(M150="Y",(D150+C150*(E150+F150)+G150)*Escalation!$B$7,0)</f>
        <v/>
      </c>
      <c r="T150">
        <f>SUM(N150:S150)</f>
        <v/>
      </c>
    </row>
    <row r="151">
      <c r="N151">
        <f>IF(H151="Y",(D151+C151*(E151+F151)+G151)*Escalation!$B$2,0)</f>
        <v/>
      </c>
      <c r="O151">
        <f>IF(I151="Y",(D151+C151*(E151+F151)+G151)*Escalation!$B$3,0)</f>
        <v/>
      </c>
      <c r="P151">
        <f>IF(J151="Y",(D151+C151*(E151+F151)+G151)*Escalation!$B$4,0)</f>
        <v/>
      </c>
      <c r="Q151">
        <f>IF(K151="Y",(D151+C151*(E151+F151)+G151)*Escalation!$B$5,0)</f>
        <v/>
      </c>
      <c r="R151">
        <f>IF(L151="Y",(D151+C151*(E151+F151)+G151)*Escalation!$B$6,0)</f>
        <v/>
      </c>
      <c r="S151">
        <f>IF(M151="Y",(D151+C151*(E151+F151)+G151)*Escalation!$B$7,0)</f>
        <v/>
      </c>
      <c r="T151">
        <f>SUM(N151:S151)</f>
        <v/>
      </c>
    </row>
    <row r="152">
      <c r="N152">
        <f>IF(H152="Y",(D152+C152*(E152+F152)+G152)*Escalation!$B$2,0)</f>
        <v/>
      </c>
      <c r="O152">
        <f>IF(I152="Y",(D152+C152*(E152+F152)+G152)*Escalation!$B$3,0)</f>
        <v/>
      </c>
      <c r="P152">
        <f>IF(J152="Y",(D152+C152*(E152+F152)+G152)*Escalation!$B$4,0)</f>
        <v/>
      </c>
      <c r="Q152">
        <f>IF(K152="Y",(D152+C152*(E152+F152)+G152)*Escalation!$B$5,0)</f>
        <v/>
      </c>
      <c r="R152">
        <f>IF(L152="Y",(D152+C152*(E152+F152)+G152)*Escalation!$B$6,0)</f>
        <v/>
      </c>
      <c r="S152">
        <f>IF(M152="Y",(D152+C152*(E152+F152)+G152)*Escalation!$B$7,0)</f>
        <v/>
      </c>
      <c r="T152">
        <f>SUM(N152:S152)</f>
        <v/>
      </c>
    </row>
    <row r="153">
      <c r="N153">
        <f>IF(H153="Y",(D153+C153*(E153+F153)+G153)*Escalation!$B$2,0)</f>
        <v/>
      </c>
      <c r="O153">
        <f>IF(I153="Y",(D153+C153*(E153+F153)+G153)*Escalation!$B$3,0)</f>
        <v/>
      </c>
      <c r="P153">
        <f>IF(J153="Y",(D153+C153*(E153+F153)+G153)*Escalation!$B$4,0)</f>
        <v/>
      </c>
      <c r="Q153">
        <f>IF(K153="Y",(D153+C153*(E153+F153)+G153)*Escalation!$B$5,0)</f>
        <v/>
      </c>
      <c r="R153">
        <f>IF(L153="Y",(D153+C153*(E153+F153)+G153)*Escalation!$B$6,0)</f>
        <v/>
      </c>
      <c r="S153">
        <f>IF(M153="Y",(D153+C153*(E153+F153)+G153)*Escalation!$B$7,0)</f>
        <v/>
      </c>
      <c r="T153">
        <f>SUM(N153:S153)</f>
        <v/>
      </c>
    </row>
    <row r="154">
      <c r="N154">
        <f>IF(H154="Y",(D154+C154*(E154+F154)+G154)*Escalation!$B$2,0)</f>
        <v/>
      </c>
      <c r="O154">
        <f>IF(I154="Y",(D154+C154*(E154+F154)+G154)*Escalation!$B$3,0)</f>
        <v/>
      </c>
      <c r="P154">
        <f>IF(J154="Y",(D154+C154*(E154+F154)+G154)*Escalation!$B$4,0)</f>
        <v/>
      </c>
      <c r="Q154">
        <f>IF(K154="Y",(D154+C154*(E154+F154)+G154)*Escalation!$B$5,0)</f>
        <v/>
      </c>
      <c r="R154">
        <f>IF(L154="Y",(D154+C154*(E154+F154)+G154)*Escalation!$B$6,0)</f>
        <v/>
      </c>
      <c r="S154">
        <f>IF(M154="Y",(D154+C154*(E154+F154)+G154)*Escalation!$B$7,0)</f>
        <v/>
      </c>
      <c r="T154">
        <f>SUM(N154:S154)</f>
        <v/>
      </c>
    </row>
    <row r="155">
      <c r="N155">
        <f>IF(H155="Y",(D155+C155*(E155+F155)+G155)*Escalation!$B$2,0)</f>
        <v/>
      </c>
      <c r="O155">
        <f>IF(I155="Y",(D155+C155*(E155+F155)+G155)*Escalation!$B$3,0)</f>
        <v/>
      </c>
      <c r="P155">
        <f>IF(J155="Y",(D155+C155*(E155+F155)+G155)*Escalation!$B$4,0)</f>
        <v/>
      </c>
      <c r="Q155">
        <f>IF(K155="Y",(D155+C155*(E155+F155)+G155)*Escalation!$B$5,0)</f>
        <v/>
      </c>
      <c r="R155">
        <f>IF(L155="Y",(D155+C155*(E155+F155)+G155)*Escalation!$B$6,0)</f>
        <v/>
      </c>
      <c r="S155">
        <f>IF(M155="Y",(D155+C155*(E155+F155)+G155)*Escalation!$B$7,0)</f>
        <v/>
      </c>
      <c r="T155">
        <f>SUM(N155:S155)</f>
        <v/>
      </c>
    </row>
    <row r="156">
      <c r="N156">
        <f>IF(H156="Y",(D156+C156*(E156+F156)+G156)*Escalation!$B$2,0)</f>
        <v/>
      </c>
      <c r="O156">
        <f>IF(I156="Y",(D156+C156*(E156+F156)+G156)*Escalation!$B$3,0)</f>
        <v/>
      </c>
      <c r="P156">
        <f>IF(J156="Y",(D156+C156*(E156+F156)+G156)*Escalation!$B$4,0)</f>
        <v/>
      </c>
      <c r="Q156">
        <f>IF(K156="Y",(D156+C156*(E156+F156)+G156)*Escalation!$B$5,0)</f>
        <v/>
      </c>
      <c r="R156">
        <f>IF(L156="Y",(D156+C156*(E156+F156)+G156)*Escalation!$B$6,0)</f>
        <v/>
      </c>
      <c r="S156">
        <f>IF(M156="Y",(D156+C156*(E156+F156)+G156)*Escalation!$B$7,0)</f>
        <v/>
      </c>
      <c r="T156">
        <f>SUM(N156:S156)</f>
        <v/>
      </c>
    </row>
    <row r="157">
      <c r="N157">
        <f>IF(H157="Y",(D157+C157*(E157+F157)+G157)*Escalation!$B$2,0)</f>
        <v/>
      </c>
      <c r="O157">
        <f>IF(I157="Y",(D157+C157*(E157+F157)+G157)*Escalation!$B$3,0)</f>
        <v/>
      </c>
      <c r="P157">
        <f>IF(J157="Y",(D157+C157*(E157+F157)+G157)*Escalation!$B$4,0)</f>
        <v/>
      </c>
      <c r="Q157">
        <f>IF(K157="Y",(D157+C157*(E157+F157)+G157)*Escalation!$B$5,0)</f>
        <v/>
      </c>
      <c r="R157">
        <f>IF(L157="Y",(D157+C157*(E157+F157)+G157)*Escalation!$B$6,0)</f>
        <v/>
      </c>
      <c r="S157">
        <f>IF(M157="Y",(D157+C157*(E157+F157)+G157)*Escalation!$B$7,0)</f>
        <v/>
      </c>
      <c r="T157">
        <f>SUM(N157:S157)</f>
        <v/>
      </c>
    </row>
    <row r="158">
      <c r="N158">
        <f>IF(H158="Y",(D158+C158*(E158+F158)+G158)*Escalation!$B$2,0)</f>
        <v/>
      </c>
      <c r="O158">
        <f>IF(I158="Y",(D158+C158*(E158+F158)+G158)*Escalation!$B$3,0)</f>
        <v/>
      </c>
      <c r="P158">
        <f>IF(J158="Y",(D158+C158*(E158+F158)+G158)*Escalation!$B$4,0)</f>
        <v/>
      </c>
      <c r="Q158">
        <f>IF(K158="Y",(D158+C158*(E158+F158)+G158)*Escalation!$B$5,0)</f>
        <v/>
      </c>
      <c r="R158">
        <f>IF(L158="Y",(D158+C158*(E158+F158)+G158)*Escalation!$B$6,0)</f>
        <v/>
      </c>
      <c r="S158">
        <f>IF(M158="Y",(D158+C158*(E158+F158)+G158)*Escalation!$B$7,0)</f>
        <v/>
      </c>
      <c r="T158">
        <f>SUM(N158:S158)</f>
        <v/>
      </c>
    </row>
    <row r="159">
      <c r="N159">
        <f>IF(H159="Y",(D159+C159*(E159+F159)+G159)*Escalation!$B$2,0)</f>
        <v/>
      </c>
      <c r="O159">
        <f>IF(I159="Y",(D159+C159*(E159+F159)+G159)*Escalation!$B$3,0)</f>
        <v/>
      </c>
      <c r="P159">
        <f>IF(J159="Y",(D159+C159*(E159+F159)+G159)*Escalation!$B$4,0)</f>
        <v/>
      </c>
      <c r="Q159">
        <f>IF(K159="Y",(D159+C159*(E159+F159)+G159)*Escalation!$B$5,0)</f>
        <v/>
      </c>
      <c r="R159">
        <f>IF(L159="Y",(D159+C159*(E159+F159)+G159)*Escalation!$B$6,0)</f>
        <v/>
      </c>
      <c r="S159">
        <f>IF(M159="Y",(D159+C159*(E159+F159)+G159)*Escalation!$B$7,0)</f>
        <v/>
      </c>
      <c r="T159">
        <f>SUM(N159:S159)</f>
        <v/>
      </c>
    </row>
    <row r="160">
      <c r="N160">
        <f>IF(H160="Y",(D160+C160*(E160+F160)+G160)*Escalation!$B$2,0)</f>
        <v/>
      </c>
      <c r="O160">
        <f>IF(I160="Y",(D160+C160*(E160+F160)+G160)*Escalation!$B$3,0)</f>
        <v/>
      </c>
      <c r="P160">
        <f>IF(J160="Y",(D160+C160*(E160+F160)+G160)*Escalation!$B$4,0)</f>
        <v/>
      </c>
      <c r="Q160">
        <f>IF(K160="Y",(D160+C160*(E160+F160)+G160)*Escalation!$B$5,0)</f>
        <v/>
      </c>
      <c r="R160">
        <f>IF(L160="Y",(D160+C160*(E160+F160)+G160)*Escalation!$B$6,0)</f>
        <v/>
      </c>
      <c r="S160">
        <f>IF(M160="Y",(D160+C160*(E160+F160)+G160)*Escalation!$B$7,0)</f>
        <v/>
      </c>
      <c r="T160">
        <f>SUM(N160:S160)</f>
        <v/>
      </c>
    </row>
    <row r="161">
      <c r="N161">
        <f>IF(H161="Y",(D161+C161*(E161+F161)+G161)*Escalation!$B$2,0)</f>
        <v/>
      </c>
      <c r="O161">
        <f>IF(I161="Y",(D161+C161*(E161+F161)+G161)*Escalation!$B$3,0)</f>
        <v/>
      </c>
      <c r="P161">
        <f>IF(J161="Y",(D161+C161*(E161+F161)+G161)*Escalation!$B$4,0)</f>
        <v/>
      </c>
      <c r="Q161">
        <f>IF(K161="Y",(D161+C161*(E161+F161)+G161)*Escalation!$B$5,0)</f>
        <v/>
      </c>
      <c r="R161">
        <f>IF(L161="Y",(D161+C161*(E161+F161)+G161)*Escalation!$B$6,0)</f>
        <v/>
      </c>
      <c r="S161">
        <f>IF(M161="Y",(D161+C161*(E161+F161)+G161)*Escalation!$B$7,0)</f>
        <v/>
      </c>
      <c r="T161">
        <f>SUM(N161:S161)</f>
        <v/>
      </c>
    </row>
    <row r="162">
      <c r="N162">
        <f>IF(H162="Y",(D162+C162*(E162+F162)+G162)*Escalation!$B$2,0)</f>
        <v/>
      </c>
      <c r="O162">
        <f>IF(I162="Y",(D162+C162*(E162+F162)+G162)*Escalation!$B$3,0)</f>
        <v/>
      </c>
      <c r="P162">
        <f>IF(J162="Y",(D162+C162*(E162+F162)+G162)*Escalation!$B$4,0)</f>
        <v/>
      </c>
      <c r="Q162">
        <f>IF(K162="Y",(D162+C162*(E162+F162)+G162)*Escalation!$B$5,0)</f>
        <v/>
      </c>
      <c r="R162">
        <f>IF(L162="Y",(D162+C162*(E162+F162)+G162)*Escalation!$B$6,0)</f>
        <v/>
      </c>
      <c r="S162">
        <f>IF(M162="Y",(D162+C162*(E162+F162)+G162)*Escalation!$B$7,0)</f>
        <v/>
      </c>
      <c r="T162">
        <f>SUM(N162:S162)</f>
        <v/>
      </c>
    </row>
    <row r="163">
      <c r="N163">
        <f>IF(H163="Y",(D163+C163*(E163+F163)+G163)*Escalation!$B$2,0)</f>
        <v/>
      </c>
      <c r="O163">
        <f>IF(I163="Y",(D163+C163*(E163+F163)+G163)*Escalation!$B$3,0)</f>
        <v/>
      </c>
      <c r="P163">
        <f>IF(J163="Y",(D163+C163*(E163+F163)+G163)*Escalation!$B$4,0)</f>
        <v/>
      </c>
      <c r="Q163">
        <f>IF(K163="Y",(D163+C163*(E163+F163)+G163)*Escalation!$B$5,0)</f>
        <v/>
      </c>
      <c r="R163">
        <f>IF(L163="Y",(D163+C163*(E163+F163)+G163)*Escalation!$B$6,0)</f>
        <v/>
      </c>
      <c r="S163">
        <f>IF(M163="Y",(D163+C163*(E163+F163)+G163)*Escalation!$B$7,0)</f>
        <v/>
      </c>
      <c r="T163">
        <f>SUM(N163:S163)</f>
        <v/>
      </c>
    </row>
    <row r="164">
      <c r="N164">
        <f>IF(H164="Y",(D164+C164*(E164+F164)+G164)*Escalation!$B$2,0)</f>
        <v/>
      </c>
      <c r="O164">
        <f>IF(I164="Y",(D164+C164*(E164+F164)+G164)*Escalation!$B$3,0)</f>
        <v/>
      </c>
      <c r="P164">
        <f>IF(J164="Y",(D164+C164*(E164+F164)+G164)*Escalation!$B$4,0)</f>
        <v/>
      </c>
      <c r="Q164">
        <f>IF(K164="Y",(D164+C164*(E164+F164)+G164)*Escalation!$B$5,0)</f>
        <v/>
      </c>
      <c r="R164">
        <f>IF(L164="Y",(D164+C164*(E164+F164)+G164)*Escalation!$B$6,0)</f>
        <v/>
      </c>
      <c r="S164">
        <f>IF(M164="Y",(D164+C164*(E164+F164)+G164)*Escalation!$B$7,0)</f>
        <v/>
      </c>
      <c r="T164">
        <f>SUM(N164:S164)</f>
        <v/>
      </c>
    </row>
    <row r="165">
      <c r="N165">
        <f>IF(H165="Y",(D165+C165*(E165+F165)+G165)*Escalation!$B$2,0)</f>
        <v/>
      </c>
      <c r="O165">
        <f>IF(I165="Y",(D165+C165*(E165+F165)+G165)*Escalation!$B$3,0)</f>
        <v/>
      </c>
      <c r="P165">
        <f>IF(J165="Y",(D165+C165*(E165+F165)+G165)*Escalation!$B$4,0)</f>
        <v/>
      </c>
      <c r="Q165">
        <f>IF(K165="Y",(D165+C165*(E165+F165)+G165)*Escalation!$B$5,0)</f>
        <v/>
      </c>
      <c r="R165">
        <f>IF(L165="Y",(D165+C165*(E165+F165)+G165)*Escalation!$B$6,0)</f>
        <v/>
      </c>
      <c r="S165">
        <f>IF(M165="Y",(D165+C165*(E165+F165)+G165)*Escalation!$B$7,0)</f>
        <v/>
      </c>
      <c r="T165">
        <f>SUM(N165:S165)</f>
        <v/>
      </c>
    </row>
    <row r="166">
      <c r="N166">
        <f>IF(H166="Y",(D166+C166*(E166+F166)+G166)*Escalation!$B$2,0)</f>
        <v/>
      </c>
      <c r="O166">
        <f>IF(I166="Y",(D166+C166*(E166+F166)+G166)*Escalation!$B$3,0)</f>
        <v/>
      </c>
      <c r="P166">
        <f>IF(J166="Y",(D166+C166*(E166+F166)+G166)*Escalation!$B$4,0)</f>
        <v/>
      </c>
      <c r="Q166">
        <f>IF(K166="Y",(D166+C166*(E166+F166)+G166)*Escalation!$B$5,0)</f>
        <v/>
      </c>
      <c r="R166">
        <f>IF(L166="Y",(D166+C166*(E166+F166)+G166)*Escalation!$B$6,0)</f>
        <v/>
      </c>
      <c r="S166">
        <f>IF(M166="Y",(D166+C166*(E166+F166)+G166)*Escalation!$B$7,0)</f>
        <v/>
      </c>
      <c r="T166">
        <f>SUM(N166:S166)</f>
        <v/>
      </c>
    </row>
    <row r="167">
      <c r="N167">
        <f>IF(H167="Y",(D167+C167*(E167+F167)+G167)*Escalation!$B$2,0)</f>
        <v/>
      </c>
      <c r="O167">
        <f>IF(I167="Y",(D167+C167*(E167+F167)+G167)*Escalation!$B$3,0)</f>
        <v/>
      </c>
      <c r="P167">
        <f>IF(J167="Y",(D167+C167*(E167+F167)+G167)*Escalation!$B$4,0)</f>
        <v/>
      </c>
      <c r="Q167">
        <f>IF(K167="Y",(D167+C167*(E167+F167)+G167)*Escalation!$B$5,0)</f>
        <v/>
      </c>
      <c r="R167">
        <f>IF(L167="Y",(D167+C167*(E167+F167)+G167)*Escalation!$B$6,0)</f>
        <v/>
      </c>
      <c r="S167">
        <f>IF(M167="Y",(D167+C167*(E167+F167)+G167)*Escalation!$B$7,0)</f>
        <v/>
      </c>
      <c r="T167">
        <f>SUM(N167:S167)</f>
        <v/>
      </c>
    </row>
    <row r="168">
      <c r="N168">
        <f>IF(H168="Y",(D168+C168*(E168+F168)+G168)*Escalation!$B$2,0)</f>
        <v/>
      </c>
      <c r="O168">
        <f>IF(I168="Y",(D168+C168*(E168+F168)+G168)*Escalation!$B$3,0)</f>
        <v/>
      </c>
      <c r="P168">
        <f>IF(J168="Y",(D168+C168*(E168+F168)+G168)*Escalation!$B$4,0)</f>
        <v/>
      </c>
      <c r="Q168">
        <f>IF(K168="Y",(D168+C168*(E168+F168)+G168)*Escalation!$B$5,0)</f>
        <v/>
      </c>
      <c r="R168">
        <f>IF(L168="Y",(D168+C168*(E168+F168)+G168)*Escalation!$B$6,0)</f>
        <v/>
      </c>
      <c r="S168">
        <f>IF(M168="Y",(D168+C168*(E168+F168)+G168)*Escalation!$B$7,0)</f>
        <v/>
      </c>
      <c r="T168">
        <f>SUM(N168:S168)</f>
        <v/>
      </c>
    </row>
    <row r="169">
      <c r="N169">
        <f>IF(H169="Y",(D169+C169*(E169+F169)+G169)*Escalation!$B$2,0)</f>
        <v/>
      </c>
      <c r="O169">
        <f>IF(I169="Y",(D169+C169*(E169+F169)+G169)*Escalation!$B$3,0)</f>
        <v/>
      </c>
      <c r="P169">
        <f>IF(J169="Y",(D169+C169*(E169+F169)+G169)*Escalation!$B$4,0)</f>
        <v/>
      </c>
      <c r="Q169">
        <f>IF(K169="Y",(D169+C169*(E169+F169)+G169)*Escalation!$B$5,0)</f>
        <v/>
      </c>
      <c r="R169">
        <f>IF(L169="Y",(D169+C169*(E169+F169)+G169)*Escalation!$B$6,0)</f>
        <v/>
      </c>
      <c r="S169">
        <f>IF(M169="Y",(D169+C169*(E169+F169)+G169)*Escalation!$B$7,0)</f>
        <v/>
      </c>
      <c r="T169">
        <f>SUM(N169:S169)</f>
        <v/>
      </c>
    </row>
    <row r="170">
      <c r="N170">
        <f>IF(H170="Y",(D170+C170*(E170+F170)+G170)*Escalation!$B$2,0)</f>
        <v/>
      </c>
      <c r="O170">
        <f>IF(I170="Y",(D170+C170*(E170+F170)+G170)*Escalation!$B$3,0)</f>
        <v/>
      </c>
      <c r="P170">
        <f>IF(J170="Y",(D170+C170*(E170+F170)+G170)*Escalation!$B$4,0)</f>
        <v/>
      </c>
      <c r="Q170">
        <f>IF(K170="Y",(D170+C170*(E170+F170)+G170)*Escalation!$B$5,0)</f>
        <v/>
      </c>
      <c r="R170">
        <f>IF(L170="Y",(D170+C170*(E170+F170)+G170)*Escalation!$B$6,0)</f>
        <v/>
      </c>
      <c r="S170">
        <f>IF(M170="Y",(D170+C170*(E170+F170)+G170)*Escalation!$B$7,0)</f>
        <v/>
      </c>
      <c r="T170">
        <f>SUM(N170:S170)</f>
        <v/>
      </c>
    </row>
    <row r="171">
      <c r="N171">
        <f>IF(H171="Y",(D171+C171*(E171+F171)+G171)*Escalation!$B$2,0)</f>
        <v/>
      </c>
      <c r="O171">
        <f>IF(I171="Y",(D171+C171*(E171+F171)+G171)*Escalation!$B$3,0)</f>
        <v/>
      </c>
      <c r="P171">
        <f>IF(J171="Y",(D171+C171*(E171+F171)+G171)*Escalation!$B$4,0)</f>
        <v/>
      </c>
      <c r="Q171">
        <f>IF(K171="Y",(D171+C171*(E171+F171)+G171)*Escalation!$B$5,0)</f>
        <v/>
      </c>
      <c r="R171">
        <f>IF(L171="Y",(D171+C171*(E171+F171)+G171)*Escalation!$B$6,0)</f>
        <v/>
      </c>
      <c r="S171">
        <f>IF(M171="Y",(D171+C171*(E171+F171)+G171)*Escalation!$B$7,0)</f>
        <v/>
      </c>
      <c r="T171">
        <f>SUM(N171:S171)</f>
        <v/>
      </c>
    </row>
    <row r="172">
      <c r="N172">
        <f>IF(H172="Y",(D172+C172*(E172+F172)+G172)*Escalation!$B$2,0)</f>
        <v/>
      </c>
      <c r="O172">
        <f>IF(I172="Y",(D172+C172*(E172+F172)+G172)*Escalation!$B$3,0)</f>
        <v/>
      </c>
      <c r="P172">
        <f>IF(J172="Y",(D172+C172*(E172+F172)+G172)*Escalation!$B$4,0)</f>
        <v/>
      </c>
      <c r="Q172">
        <f>IF(K172="Y",(D172+C172*(E172+F172)+G172)*Escalation!$B$5,0)</f>
        <v/>
      </c>
      <c r="R172">
        <f>IF(L172="Y",(D172+C172*(E172+F172)+G172)*Escalation!$B$6,0)</f>
        <v/>
      </c>
      <c r="S172">
        <f>IF(M172="Y",(D172+C172*(E172+F172)+G172)*Escalation!$B$7,0)</f>
        <v/>
      </c>
      <c r="T172">
        <f>SUM(N172:S172)</f>
        <v/>
      </c>
    </row>
    <row r="173">
      <c r="N173">
        <f>IF(H173="Y",(D173+C173*(E173+F173)+G173)*Escalation!$B$2,0)</f>
        <v/>
      </c>
      <c r="O173">
        <f>IF(I173="Y",(D173+C173*(E173+F173)+G173)*Escalation!$B$3,0)</f>
        <v/>
      </c>
      <c r="P173">
        <f>IF(J173="Y",(D173+C173*(E173+F173)+G173)*Escalation!$B$4,0)</f>
        <v/>
      </c>
      <c r="Q173">
        <f>IF(K173="Y",(D173+C173*(E173+F173)+G173)*Escalation!$B$5,0)</f>
        <v/>
      </c>
      <c r="R173">
        <f>IF(L173="Y",(D173+C173*(E173+F173)+G173)*Escalation!$B$6,0)</f>
        <v/>
      </c>
      <c r="S173">
        <f>IF(M173="Y",(D173+C173*(E173+F173)+G173)*Escalation!$B$7,0)</f>
        <v/>
      </c>
      <c r="T173">
        <f>SUM(N173:S173)</f>
        <v/>
      </c>
    </row>
    <row r="174">
      <c r="N174">
        <f>IF(H174="Y",(D174+C174*(E174+F174)+G174)*Escalation!$B$2,0)</f>
        <v/>
      </c>
      <c r="O174">
        <f>IF(I174="Y",(D174+C174*(E174+F174)+G174)*Escalation!$B$3,0)</f>
        <v/>
      </c>
      <c r="P174">
        <f>IF(J174="Y",(D174+C174*(E174+F174)+G174)*Escalation!$B$4,0)</f>
        <v/>
      </c>
      <c r="Q174">
        <f>IF(K174="Y",(D174+C174*(E174+F174)+G174)*Escalation!$B$5,0)</f>
        <v/>
      </c>
      <c r="R174">
        <f>IF(L174="Y",(D174+C174*(E174+F174)+G174)*Escalation!$B$6,0)</f>
        <v/>
      </c>
      <c r="S174">
        <f>IF(M174="Y",(D174+C174*(E174+F174)+G174)*Escalation!$B$7,0)</f>
        <v/>
      </c>
      <c r="T174">
        <f>SUM(N174:S174)</f>
        <v/>
      </c>
    </row>
    <row r="175">
      <c r="N175">
        <f>IF(H175="Y",(D175+C175*(E175+F175)+G175)*Escalation!$B$2,0)</f>
        <v/>
      </c>
      <c r="O175">
        <f>IF(I175="Y",(D175+C175*(E175+F175)+G175)*Escalation!$B$3,0)</f>
        <v/>
      </c>
      <c r="P175">
        <f>IF(J175="Y",(D175+C175*(E175+F175)+G175)*Escalation!$B$4,0)</f>
        <v/>
      </c>
      <c r="Q175">
        <f>IF(K175="Y",(D175+C175*(E175+F175)+G175)*Escalation!$B$5,0)</f>
        <v/>
      </c>
      <c r="R175">
        <f>IF(L175="Y",(D175+C175*(E175+F175)+G175)*Escalation!$B$6,0)</f>
        <v/>
      </c>
      <c r="S175">
        <f>IF(M175="Y",(D175+C175*(E175+F175)+G175)*Escalation!$B$7,0)</f>
        <v/>
      </c>
      <c r="T175">
        <f>SUM(N175:S175)</f>
        <v/>
      </c>
    </row>
    <row r="176">
      <c r="N176">
        <f>IF(H176="Y",(D176+C176*(E176+F176)+G176)*Escalation!$B$2,0)</f>
        <v/>
      </c>
      <c r="O176">
        <f>IF(I176="Y",(D176+C176*(E176+F176)+G176)*Escalation!$B$3,0)</f>
        <v/>
      </c>
      <c r="P176">
        <f>IF(J176="Y",(D176+C176*(E176+F176)+G176)*Escalation!$B$4,0)</f>
        <v/>
      </c>
      <c r="Q176">
        <f>IF(K176="Y",(D176+C176*(E176+F176)+G176)*Escalation!$B$5,0)</f>
        <v/>
      </c>
      <c r="R176">
        <f>IF(L176="Y",(D176+C176*(E176+F176)+G176)*Escalation!$B$6,0)</f>
        <v/>
      </c>
      <c r="S176">
        <f>IF(M176="Y",(D176+C176*(E176+F176)+G176)*Escalation!$B$7,0)</f>
        <v/>
      </c>
      <c r="T176">
        <f>SUM(N176:S176)</f>
        <v/>
      </c>
    </row>
    <row r="177">
      <c r="N177">
        <f>IF(H177="Y",(D177+C177*(E177+F177)+G177)*Escalation!$B$2,0)</f>
        <v/>
      </c>
      <c r="O177">
        <f>IF(I177="Y",(D177+C177*(E177+F177)+G177)*Escalation!$B$3,0)</f>
        <v/>
      </c>
      <c r="P177">
        <f>IF(J177="Y",(D177+C177*(E177+F177)+G177)*Escalation!$B$4,0)</f>
        <v/>
      </c>
      <c r="Q177">
        <f>IF(K177="Y",(D177+C177*(E177+F177)+G177)*Escalation!$B$5,0)</f>
        <v/>
      </c>
      <c r="R177">
        <f>IF(L177="Y",(D177+C177*(E177+F177)+G177)*Escalation!$B$6,0)</f>
        <v/>
      </c>
      <c r="S177">
        <f>IF(M177="Y",(D177+C177*(E177+F177)+G177)*Escalation!$B$7,0)</f>
        <v/>
      </c>
      <c r="T177">
        <f>SUM(N177:S177)</f>
        <v/>
      </c>
    </row>
    <row r="178">
      <c r="N178">
        <f>IF(H178="Y",(D178+C178*(E178+F178)+G178)*Escalation!$B$2,0)</f>
        <v/>
      </c>
      <c r="O178">
        <f>IF(I178="Y",(D178+C178*(E178+F178)+G178)*Escalation!$B$3,0)</f>
        <v/>
      </c>
      <c r="P178">
        <f>IF(J178="Y",(D178+C178*(E178+F178)+G178)*Escalation!$B$4,0)</f>
        <v/>
      </c>
      <c r="Q178">
        <f>IF(K178="Y",(D178+C178*(E178+F178)+G178)*Escalation!$B$5,0)</f>
        <v/>
      </c>
      <c r="R178">
        <f>IF(L178="Y",(D178+C178*(E178+F178)+G178)*Escalation!$B$6,0)</f>
        <v/>
      </c>
      <c r="S178">
        <f>IF(M178="Y",(D178+C178*(E178+F178)+G178)*Escalation!$B$7,0)</f>
        <v/>
      </c>
      <c r="T178">
        <f>SUM(N178:S178)</f>
        <v/>
      </c>
    </row>
    <row r="179">
      <c r="N179">
        <f>IF(H179="Y",(D179+C179*(E179+F179)+G179)*Escalation!$B$2,0)</f>
        <v/>
      </c>
      <c r="O179">
        <f>IF(I179="Y",(D179+C179*(E179+F179)+G179)*Escalation!$B$3,0)</f>
        <v/>
      </c>
      <c r="P179">
        <f>IF(J179="Y",(D179+C179*(E179+F179)+G179)*Escalation!$B$4,0)</f>
        <v/>
      </c>
      <c r="Q179">
        <f>IF(K179="Y",(D179+C179*(E179+F179)+G179)*Escalation!$B$5,0)</f>
        <v/>
      </c>
      <c r="R179">
        <f>IF(L179="Y",(D179+C179*(E179+F179)+G179)*Escalation!$B$6,0)</f>
        <v/>
      </c>
      <c r="S179">
        <f>IF(M179="Y",(D179+C179*(E179+F179)+G179)*Escalation!$B$7,0)</f>
        <v/>
      </c>
      <c r="T179">
        <f>SUM(N179:S179)</f>
        <v/>
      </c>
    </row>
    <row r="180">
      <c r="N180">
        <f>IF(H180="Y",(D180+C180*(E180+F180)+G180)*Escalation!$B$2,0)</f>
        <v/>
      </c>
      <c r="O180">
        <f>IF(I180="Y",(D180+C180*(E180+F180)+G180)*Escalation!$B$3,0)</f>
        <v/>
      </c>
      <c r="P180">
        <f>IF(J180="Y",(D180+C180*(E180+F180)+G180)*Escalation!$B$4,0)</f>
        <v/>
      </c>
      <c r="Q180">
        <f>IF(K180="Y",(D180+C180*(E180+F180)+G180)*Escalation!$B$5,0)</f>
        <v/>
      </c>
      <c r="R180">
        <f>IF(L180="Y",(D180+C180*(E180+F180)+G180)*Escalation!$B$6,0)</f>
        <v/>
      </c>
      <c r="S180">
        <f>IF(M180="Y",(D180+C180*(E180+F180)+G180)*Escalation!$B$7,0)</f>
        <v/>
      </c>
      <c r="T180">
        <f>SUM(N180:S180)</f>
        <v/>
      </c>
    </row>
    <row r="181">
      <c r="N181">
        <f>IF(H181="Y",(D181+C181*(E181+F181)+G181)*Escalation!$B$2,0)</f>
        <v/>
      </c>
      <c r="O181">
        <f>IF(I181="Y",(D181+C181*(E181+F181)+G181)*Escalation!$B$3,0)</f>
        <v/>
      </c>
      <c r="P181">
        <f>IF(J181="Y",(D181+C181*(E181+F181)+G181)*Escalation!$B$4,0)</f>
        <v/>
      </c>
      <c r="Q181">
        <f>IF(K181="Y",(D181+C181*(E181+F181)+G181)*Escalation!$B$5,0)</f>
        <v/>
      </c>
      <c r="R181">
        <f>IF(L181="Y",(D181+C181*(E181+F181)+G181)*Escalation!$B$6,0)</f>
        <v/>
      </c>
      <c r="S181">
        <f>IF(M181="Y",(D181+C181*(E181+F181)+G181)*Escalation!$B$7,0)</f>
        <v/>
      </c>
      <c r="T181">
        <f>SUM(N181:S181)</f>
        <v/>
      </c>
    </row>
    <row r="182">
      <c r="N182">
        <f>IF(H182="Y",(D182+C182*(E182+F182)+G182)*Escalation!$B$2,0)</f>
        <v/>
      </c>
      <c r="O182">
        <f>IF(I182="Y",(D182+C182*(E182+F182)+G182)*Escalation!$B$3,0)</f>
        <v/>
      </c>
      <c r="P182">
        <f>IF(J182="Y",(D182+C182*(E182+F182)+G182)*Escalation!$B$4,0)</f>
        <v/>
      </c>
      <c r="Q182">
        <f>IF(K182="Y",(D182+C182*(E182+F182)+G182)*Escalation!$B$5,0)</f>
        <v/>
      </c>
      <c r="R182">
        <f>IF(L182="Y",(D182+C182*(E182+F182)+G182)*Escalation!$B$6,0)</f>
        <v/>
      </c>
      <c r="S182">
        <f>IF(M182="Y",(D182+C182*(E182+F182)+G182)*Escalation!$B$7,0)</f>
        <v/>
      </c>
      <c r="T182">
        <f>SUM(N182:S182)</f>
        <v/>
      </c>
    </row>
    <row r="183">
      <c r="N183">
        <f>IF(H183="Y",(D183+C183*(E183+F183)+G183)*Escalation!$B$2,0)</f>
        <v/>
      </c>
      <c r="O183">
        <f>IF(I183="Y",(D183+C183*(E183+F183)+G183)*Escalation!$B$3,0)</f>
        <v/>
      </c>
      <c r="P183">
        <f>IF(J183="Y",(D183+C183*(E183+F183)+G183)*Escalation!$B$4,0)</f>
        <v/>
      </c>
      <c r="Q183">
        <f>IF(K183="Y",(D183+C183*(E183+F183)+G183)*Escalation!$B$5,0)</f>
        <v/>
      </c>
      <c r="R183">
        <f>IF(L183="Y",(D183+C183*(E183+F183)+G183)*Escalation!$B$6,0)</f>
        <v/>
      </c>
      <c r="S183">
        <f>IF(M183="Y",(D183+C183*(E183+F183)+G183)*Escalation!$B$7,0)</f>
        <v/>
      </c>
      <c r="T183">
        <f>SUM(N183:S183)</f>
        <v/>
      </c>
    </row>
    <row r="184">
      <c r="N184">
        <f>IF(H184="Y",(D184+C184*(E184+F184)+G184)*Escalation!$B$2,0)</f>
        <v/>
      </c>
      <c r="O184">
        <f>IF(I184="Y",(D184+C184*(E184+F184)+G184)*Escalation!$B$3,0)</f>
        <v/>
      </c>
      <c r="P184">
        <f>IF(J184="Y",(D184+C184*(E184+F184)+G184)*Escalation!$B$4,0)</f>
        <v/>
      </c>
      <c r="Q184">
        <f>IF(K184="Y",(D184+C184*(E184+F184)+G184)*Escalation!$B$5,0)</f>
        <v/>
      </c>
      <c r="R184">
        <f>IF(L184="Y",(D184+C184*(E184+F184)+G184)*Escalation!$B$6,0)</f>
        <v/>
      </c>
      <c r="S184">
        <f>IF(M184="Y",(D184+C184*(E184+F184)+G184)*Escalation!$B$7,0)</f>
        <v/>
      </c>
      <c r="T184">
        <f>SUM(N184:S184)</f>
        <v/>
      </c>
    </row>
    <row r="185">
      <c r="N185">
        <f>IF(H185="Y",(D185+C185*(E185+F185)+G185)*Escalation!$B$2,0)</f>
        <v/>
      </c>
      <c r="O185">
        <f>IF(I185="Y",(D185+C185*(E185+F185)+G185)*Escalation!$B$3,0)</f>
        <v/>
      </c>
      <c r="P185">
        <f>IF(J185="Y",(D185+C185*(E185+F185)+G185)*Escalation!$B$4,0)</f>
        <v/>
      </c>
      <c r="Q185">
        <f>IF(K185="Y",(D185+C185*(E185+F185)+G185)*Escalation!$B$5,0)</f>
        <v/>
      </c>
      <c r="R185">
        <f>IF(L185="Y",(D185+C185*(E185+F185)+G185)*Escalation!$B$6,0)</f>
        <v/>
      </c>
      <c r="S185">
        <f>IF(M185="Y",(D185+C185*(E185+F185)+G185)*Escalation!$B$7,0)</f>
        <v/>
      </c>
      <c r="T185">
        <f>SUM(N185:S185)</f>
        <v/>
      </c>
    </row>
    <row r="186">
      <c r="N186">
        <f>IF(H186="Y",(D186+C186*(E186+F186)+G186)*Escalation!$B$2,0)</f>
        <v/>
      </c>
      <c r="O186">
        <f>IF(I186="Y",(D186+C186*(E186+F186)+G186)*Escalation!$B$3,0)</f>
        <v/>
      </c>
      <c r="P186">
        <f>IF(J186="Y",(D186+C186*(E186+F186)+G186)*Escalation!$B$4,0)</f>
        <v/>
      </c>
      <c r="Q186">
        <f>IF(K186="Y",(D186+C186*(E186+F186)+G186)*Escalation!$B$5,0)</f>
        <v/>
      </c>
      <c r="R186">
        <f>IF(L186="Y",(D186+C186*(E186+F186)+G186)*Escalation!$B$6,0)</f>
        <v/>
      </c>
      <c r="S186">
        <f>IF(M186="Y",(D186+C186*(E186+F186)+G186)*Escalation!$B$7,0)</f>
        <v/>
      </c>
      <c r="T186">
        <f>SUM(N186:S186)</f>
        <v/>
      </c>
    </row>
    <row r="187">
      <c r="N187">
        <f>IF(H187="Y",(D187+C187*(E187+F187)+G187)*Escalation!$B$2,0)</f>
        <v/>
      </c>
      <c r="O187">
        <f>IF(I187="Y",(D187+C187*(E187+F187)+G187)*Escalation!$B$3,0)</f>
        <v/>
      </c>
      <c r="P187">
        <f>IF(J187="Y",(D187+C187*(E187+F187)+G187)*Escalation!$B$4,0)</f>
        <v/>
      </c>
      <c r="Q187">
        <f>IF(K187="Y",(D187+C187*(E187+F187)+G187)*Escalation!$B$5,0)</f>
        <v/>
      </c>
      <c r="R187">
        <f>IF(L187="Y",(D187+C187*(E187+F187)+G187)*Escalation!$B$6,0)</f>
        <v/>
      </c>
      <c r="S187">
        <f>IF(M187="Y",(D187+C187*(E187+F187)+G187)*Escalation!$B$7,0)</f>
        <v/>
      </c>
      <c r="T187">
        <f>SUM(N187:S187)</f>
        <v/>
      </c>
    </row>
    <row r="188">
      <c r="N188">
        <f>IF(H188="Y",(D188+C188*(E188+F188)+G188)*Escalation!$B$2,0)</f>
        <v/>
      </c>
      <c r="O188">
        <f>IF(I188="Y",(D188+C188*(E188+F188)+G188)*Escalation!$B$3,0)</f>
        <v/>
      </c>
      <c r="P188">
        <f>IF(J188="Y",(D188+C188*(E188+F188)+G188)*Escalation!$B$4,0)</f>
        <v/>
      </c>
      <c r="Q188">
        <f>IF(K188="Y",(D188+C188*(E188+F188)+G188)*Escalation!$B$5,0)</f>
        <v/>
      </c>
      <c r="R188">
        <f>IF(L188="Y",(D188+C188*(E188+F188)+G188)*Escalation!$B$6,0)</f>
        <v/>
      </c>
      <c r="S188">
        <f>IF(M188="Y",(D188+C188*(E188+F188)+G188)*Escalation!$B$7,0)</f>
        <v/>
      </c>
      <c r="T188">
        <f>SUM(N188:S188)</f>
        <v/>
      </c>
    </row>
    <row r="189">
      <c r="N189">
        <f>IF(H189="Y",(D189+C189*(E189+F189)+G189)*Escalation!$B$2,0)</f>
        <v/>
      </c>
      <c r="O189">
        <f>IF(I189="Y",(D189+C189*(E189+F189)+G189)*Escalation!$B$3,0)</f>
        <v/>
      </c>
      <c r="P189">
        <f>IF(J189="Y",(D189+C189*(E189+F189)+G189)*Escalation!$B$4,0)</f>
        <v/>
      </c>
      <c r="Q189">
        <f>IF(K189="Y",(D189+C189*(E189+F189)+G189)*Escalation!$B$5,0)</f>
        <v/>
      </c>
      <c r="R189">
        <f>IF(L189="Y",(D189+C189*(E189+F189)+G189)*Escalation!$B$6,0)</f>
        <v/>
      </c>
      <c r="S189">
        <f>IF(M189="Y",(D189+C189*(E189+F189)+G189)*Escalation!$B$7,0)</f>
        <v/>
      </c>
      <c r="T189">
        <f>SUM(N189:S189)</f>
        <v/>
      </c>
    </row>
    <row r="190">
      <c r="N190">
        <f>IF(H190="Y",(D190+C190*(E190+F190)+G190)*Escalation!$B$2,0)</f>
        <v/>
      </c>
      <c r="O190">
        <f>IF(I190="Y",(D190+C190*(E190+F190)+G190)*Escalation!$B$3,0)</f>
        <v/>
      </c>
      <c r="P190">
        <f>IF(J190="Y",(D190+C190*(E190+F190)+G190)*Escalation!$B$4,0)</f>
        <v/>
      </c>
      <c r="Q190">
        <f>IF(K190="Y",(D190+C190*(E190+F190)+G190)*Escalation!$B$5,0)</f>
        <v/>
      </c>
      <c r="R190">
        <f>IF(L190="Y",(D190+C190*(E190+F190)+G190)*Escalation!$B$6,0)</f>
        <v/>
      </c>
      <c r="S190">
        <f>IF(M190="Y",(D190+C190*(E190+F190)+G190)*Escalation!$B$7,0)</f>
        <v/>
      </c>
      <c r="T190">
        <f>SUM(N190:S190)</f>
        <v/>
      </c>
    </row>
    <row r="191">
      <c r="N191">
        <f>IF(H191="Y",(D191+C191*(E191+F191)+G191)*Escalation!$B$2,0)</f>
        <v/>
      </c>
      <c r="O191">
        <f>IF(I191="Y",(D191+C191*(E191+F191)+G191)*Escalation!$B$3,0)</f>
        <v/>
      </c>
      <c r="P191">
        <f>IF(J191="Y",(D191+C191*(E191+F191)+G191)*Escalation!$B$4,0)</f>
        <v/>
      </c>
      <c r="Q191">
        <f>IF(K191="Y",(D191+C191*(E191+F191)+G191)*Escalation!$B$5,0)</f>
        <v/>
      </c>
      <c r="R191">
        <f>IF(L191="Y",(D191+C191*(E191+F191)+G191)*Escalation!$B$6,0)</f>
        <v/>
      </c>
      <c r="S191">
        <f>IF(M191="Y",(D191+C191*(E191+F191)+G191)*Escalation!$B$7,0)</f>
        <v/>
      </c>
      <c r="T191">
        <f>SUM(N191:S191)</f>
        <v/>
      </c>
    </row>
    <row r="192">
      <c r="N192">
        <f>IF(H192="Y",(D192+C192*(E192+F192)+G192)*Escalation!$B$2,0)</f>
        <v/>
      </c>
      <c r="O192">
        <f>IF(I192="Y",(D192+C192*(E192+F192)+G192)*Escalation!$B$3,0)</f>
        <v/>
      </c>
      <c r="P192">
        <f>IF(J192="Y",(D192+C192*(E192+F192)+G192)*Escalation!$B$4,0)</f>
        <v/>
      </c>
      <c r="Q192">
        <f>IF(K192="Y",(D192+C192*(E192+F192)+G192)*Escalation!$B$5,0)</f>
        <v/>
      </c>
      <c r="R192">
        <f>IF(L192="Y",(D192+C192*(E192+F192)+G192)*Escalation!$B$6,0)</f>
        <v/>
      </c>
      <c r="S192">
        <f>IF(M192="Y",(D192+C192*(E192+F192)+G192)*Escalation!$B$7,0)</f>
        <v/>
      </c>
      <c r="T192">
        <f>SUM(N192:S192)</f>
        <v/>
      </c>
    </row>
    <row r="193">
      <c r="N193">
        <f>IF(H193="Y",(D193+C193*(E193+F193)+G193)*Escalation!$B$2,0)</f>
        <v/>
      </c>
      <c r="O193">
        <f>IF(I193="Y",(D193+C193*(E193+F193)+G193)*Escalation!$B$3,0)</f>
        <v/>
      </c>
      <c r="P193">
        <f>IF(J193="Y",(D193+C193*(E193+F193)+G193)*Escalation!$B$4,0)</f>
        <v/>
      </c>
      <c r="Q193">
        <f>IF(K193="Y",(D193+C193*(E193+F193)+G193)*Escalation!$B$5,0)</f>
        <v/>
      </c>
      <c r="R193">
        <f>IF(L193="Y",(D193+C193*(E193+F193)+G193)*Escalation!$B$6,0)</f>
        <v/>
      </c>
      <c r="S193">
        <f>IF(M193="Y",(D193+C193*(E193+F193)+G193)*Escalation!$B$7,0)</f>
        <v/>
      </c>
      <c r="T193">
        <f>SUM(N193:S193)</f>
        <v/>
      </c>
    </row>
    <row r="194">
      <c r="N194">
        <f>IF(H194="Y",(D194+C194*(E194+F194)+G194)*Escalation!$B$2,0)</f>
        <v/>
      </c>
      <c r="O194">
        <f>IF(I194="Y",(D194+C194*(E194+F194)+G194)*Escalation!$B$3,0)</f>
        <v/>
      </c>
      <c r="P194">
        <f>IF(J194="Y",(D194+C194*(E194+F194)+G194)*Escalation!$B$4,0)</f>
        <v/>
      </c>
      <c r="Q194">
        <f>IF(K194="Y",(D194+C194*(E194+F194)+G194)*Escalation!$B$5,0)</f>
        <v/>
      </c>
      <c r="R194">
        <f>IF(L194="Y",(D194+C194*(E194+F194)+G194)*Escalation!$B$6,0)</f>
        <v/>
      </c>
      <c r="S194">
        <f>IF(M194="Y",(D194+C194*(E194+F194)+G194)*Escalation!$B$7,0)</f>
        <v/>
      </c>
      <c r="T194">
        <f>SUM(N194:S194)</f>
        <v/>
      </c>
    </row>
    <row r="195">
      <c r="N195">
        <f>IF(H195="Y",(D195+C195*(E195+F195)+G195)*Escalation!$B$2,0)</f>
        <v/>
      </c>
      <c r="O195">
        <f>IF(I195="Y",(D195+C195*(E195+F195)+G195)*Escalation!$B$3,0)</f>
        <v/>
      </c>
      <c r="P195">
        <f>IF(J195="Y",(D195+C195*(E195+F195)+G195)*Escalation!$B$4,0)</f>
        <v/>
      </c>
      <c r="Q195">
        <f>IF(K195="Y",(D195+C195*(E195+F195)+G195)*Escalation!$B$5,0)</f>
        <v/>
      </c>
      <c r="R195">
        <f>IF(L195="Y",(D195+C195*(E195+F195)+G195)*Escalation!$B$6,0)</f>
        <v/>
      </c>
      <c r="S195">
        <f>IF(M195="Y",(D195+C195*(E195+F195)+G195)*Escalation!$B$7,0)</f>
        <v/>
      </c>
      <c r="T195">
        <f>SUM(N195:S195)</f>
        <v/>
      </c>
    </row>
    <row r="196">
      <c r="N196">
        <f>IF(H196="Y",(D196+C196*(E196+F196)+G196)*Escalation!$B$2,0)</f>
        <v/>
      </c>
      <c r="O196">
        <f>IF(I196="Y",(D196+C196*(E196+F196)+G196)*Escalation!$B$3,0)</f>
        <v/>
      </c>
      <c r="P196">
        <f>IF(J196="Y",(D196+C196*(E196+F196)+G196)*Escalation!$B$4,0)</f>
        <v/>
      </c>
      <c r="Q196">
        <f>IF(K196="Y",(D196+C196*(E196+F196)+G196)*Escalation!$B$5,0)</f>
        <v/>
      </c>
      <c r="R196">
        <f>IF(L196="Y",(D196+C196*(E196+F196)+G196)*Escalation!$B$6,0)</f>
        <v/>
      </c>
      <c r="S196">
        <f>IF(M196="Y",(D196+C196*(E196+F196)+G196)*Escalation!$B$7,0)</f>
        <v/>
      </c>
      <c r="T196">
        <f>SUM(N196:S196)</f>
        <v/>
      </c>
    </row>
    <row r="197">
      <c r="N197">
        <f>IF(H197="Y",(D197+C197*(E197+F197)+G197)*Escalation!$B$2,0)</f>
        <v/>
      </c>
      <c r="O197">
        <f>IF(I197="Y",(D197+C197*(E197+F197)+G197)*Escalation!$B$3,0)</f>
        <v/>
      </c>
      <c r="P197">
        <f>IF(J197="Y",(D197+C197*(E197+F197)+G197)*Escalation!$B$4,0)</f>
        <v/>
      </c>
      <c r="Q197">
        <f>IF(K197="Y",(D197+C197*(E197+F197)+G197)*Escalation!$B$5,0)</f>
        <v/>
      </c>
      <c r="R197">
        <f>IF(L197="Y",(D197+C197*(E197+F197)+G197)*Escalation!$B$6,0)</f>
        <v/>
      </c>
      <c r="S197">
        <f>IF(M197="Y",(D197+C197*(E197+F197)+G197)*Escalation!$B$7,0)</f>
        <v/>
      </c>
      <c r="T197">
        <f>SUM(N197:S197)</f>
        <v/>
      </c>
    </row>
    <row r="198">
      <c r="N198">
        <f>IF(H198="Y",(D198+C198*(E198+F198)+G198)*Escalation!$B$2,0)</f>
        <v/>
      </c>
      <c r="O198">
        <f>IF(I198="Y",(D198+C198*(E198+F198)+G198)*Escalation!$B$3,0)</f>
        <v/>
      </c>
      <c r="P198">
        <f>IF(J198="Y",(D198+C198*(E198+F198)+G198)*Escalation!$B$4,0)</f>
        <v/>
      </c>
      <c r="Q198">
        <f>IF(K198="Y",(D198+C198*(E198+F198)+G198)*Escalation!$B$5,0)</f>
        <v/>
      </c>
      <c r="R198">
        <f>IF(L198="Y",(D198+C198*(E198+F198)+G198)*Escalation!$B$6,0)</f>
        <v/>
      </c>
      <c r="S198">
        <f>IF(M198="Y",(D198+C198*(E198+F198)+G198)*Escalation!$B$7,0)</f>
        <v/>
      </c>
      <c r="T198">
        <f>SUM(N198:S198)</f>
        <v/>
      </c>
    </row>
    <row r="199">
      <c r="N199">
        <f>IF(H199="Y",(D199+C199*(E199+F199)+G199)*Escalation!$B$2,0)</f>
        <v/>
      </c>
      <c r="O199">
        <f>IF(I199="Y",(D199+C199*(E199+F199)+G199)*Escalation!$B$3,0)</f>
        <v/>
      </c>
      <c r="P199">
        <f>IF(J199="Y",(D199+C199*(E199+F199)+G199)*Escalation!$B$4,0)</f>
        <v/>
      </c>
      <c r="Q199">
        <f>IF(K199="Y",(D199+C199*(E199+F199)+G199)*Escalation!$B$5,0)</f>
        <v/>
      </c>
      <c r="R199">
        <f>IF(L199="Y",(D199+C199*(E199+F199)+G199)*Escalation!$B$6,0)</f>
        <v/>
      </c>
      <c r="S199">
        <f>IF(M199="Y",(D199+C199*(E199+F199)+G199)*Escalation!$B$7,0)</f>
        <v/>
      </c>
      <c r="T199">
        <f>SUM(N199:S199)</f>
        <v/>
      </c>
    </row>
    <row r="200">
      <c r="N200">
        <f>IF(H200="Y",(D200+C200*(E200+F200)+G200)*Escalation!$B$2,0)</f>
        <v/>
      </c>
      <c r="O200">
        <f>IF(I200="Y",(D200+C200*(E200+F200)+G200)*Escalation!$B$3,0)</f>
        <v/>
      </c>
      <c r="P200">
        <f>IF(J200="Y",(D200+C200*(E200+F200)+G200)*Escalation!$B$4,0)</f>
        <v/>
      </c>
      <c r="Q200">
        <f>IF(K200="Y",(D200+C200*(E200+F200)+G200)*Escalation!$B$5,0)</f>
        <v/>
      </c>
      <c r="R200">
        <f>IF(L200="Y",(D200+C200*(E200+F200)+G200)*Escalation!$B$6,0)</f>
        <v/>
      </c>
      <c r="S200">
        <f>IF(M200="Y",(D200+C200*(E200+F200)+G200)*Escalation!$B$7,0)</f>
        <v/>
      </c>
      <c r="T200">
        <f>SUM(N200:S200)</f>
        <v/>
      </c>
    </row>
    <row r="201">
      <c r="N201">
        <f>IF(H201="Y",(D201+C201*(E201+F201)+G201)*Escalation!$B$2,0)</f>
        <v/>
      </c>
      <c r="O201">
        <f>IF(I201="Y",(D201+C201*(E201+F201)+G201)*Escalation!$B$3,0)</f>
        <v/>
      </c>
      <c r="P201">
        <f>IF(J201="Y",(D201+C201*(E201+F201)+G201)*Escalation!$B$4,0)</f>
        <v/>
      </c>
      <c r="Q201">
        <f>IF(K201="Y",(D201+C201*(E201+F201)+G201)*Escalation!$B$5,0)</f>
        <v/>
      </c>
      <c r="R201">
        <f>IF(L201="Y",(D201+C201*(E201+F201)+G201)*Escalation!$B$6,0)</f>
        <v/>
      </c>
      <c r="S201">
        <f>IF(M201="Y",(D201+C201*(E201+F201)+G201)*Escalation!$B$7,0)</f>
        <v/>
      </c>
      <c r="T201">
        <f>SUM(N201:S201)</f>
        <v/>
      </c>
    </row>
    <row r="202">
      <c r="N202">
        <f>IF(H202="Y",(D202+C202*(E202+F202)+G202)*Escalation!$B$2,0)</f>
        <v/>
      </c>
      <c r="O202">
        <f>IF(I202="Y",(D202+C202*(E202+F202)+G202)*Escalation!$B$3,0)</f>
        <v/>
      </c>
      <c r="P202">
        <f>IF(J202="Y",(D202+C202*(E202+F202)+G202)*Escalation!$B$4,0)</f>
        <v/>
      </c>
      <c r="Q202">
        <f>IF(K202="Y",(D202+C202*(E202+F202)+G202)*Escalation!$B$5,0)</f>
        <v/>
      </c>
      <c r="R202">
        <f>IF(L202="Y",(D202+C202*(E202+F202)+G202)*Escalation!$B$6,0)</f>
        <v/>
      </c>
      <c r="S202">
        <f>IF(M202="Y",(D202+C202*(E202+F202)+G202)*Escalation!$B$7,0)</f>
        <v/>
      </c>
      <c r="T202">
        <f>SUM(N202:S202)</f>
        <v/>
      </c>
    </row>
    <row r="203">
      <c r="N203">
        <f>IF(H203="Y",(D203+C203*(E203+F203)+G203)*Escalation!$B$2,0)</f>
        <v/>
      </c>
      <c r="O203">
        <f>IF(I203="Y",(D203+C203*(E203+F203)+G203)*Escalation!$B$3,0)</f>
        <v/>
      </c>
      <c r="P203">
        <f>IF(J203="Y",(D203+C203*(E203+F203)+G203)*Escalation!$B$4,0)</f>
        <v/>
      </c>
      <c r="Q203">
        <f>IF(K203="Y",(D203+C203*(E203+F203)+G203)*Escalation!$B$5,0)</f>
        <v/>
      </c>
      <c r="R203">
        <f>IF(L203="Y",(D203+C203*(E203+F203)+G203)*Escalation!$B$6,0)</f>
        <v/>
      </c>
      <c r="S203">
        <f>IF(M203="Y",(D203+C203*(E203+F203)+G203)*Escalation!$B$7,0)</f>
        <v/>
      </c>
      <c r="T203">
        <f>SUM(N203:S203)</f>
        <v/>
      </c>
    </row>
    <row r="204">
      <c r="N204">
        <f>IF(H204="Y",(D204+C204*(E204+F204)+G204)*Escalation!$B$2,0)</f>
        <v/>
      </c>
      <c r="O204">
        <f>IF(I204="Y",(D204+C204*(E204+F204)+G204)*Escalation!$B$3,0)</f>
        <v/>
      </c>
      <c r="P204">
        <f>IF(J204="Y",(D204+C204*(E204+F204)+G204)*Escalation!$B$4,0)</f>
        <v/>
      </c>
      <c r="Q204">
        <f>IF(K204="Y",(D204+C204*(E204+F204)+G204)*Escalation!$B$5,0)</f>
        <v/>
      </c>
      <c r="R204">
        <f>IF(L204="Y",(D204+C204*(E204+F204)+G204)*Escalation!$B$6,0)</f>
        <v/>
      </c>
      <c r="S204">
        <f>IF(M204="Y",(D204+C204*(E204+F204)+G204)*Escalation!$B$7,0)</f>
        <v/>
      </c>
      <c r="T204">
        <f>SUM(N204:S204)</f>
        <v/>
      </c>
    </row>
    <row r="205">
      <c r="N205">
        <f>IF(H205="Y",(D205+C205*(E205+F205)+G205)*Escalation!$B$2,0)</f>
        <v/>
      </c>
      <c r="O205">
        <f>IF(I205="Y",(D205+C205*(E205+F205)+G205)*Escalation!$B$3,0)</f>
        <v/>
      </c>
      <c r="P205">
        <f>IF(J205="Y",(D205+C205*(E205+F205)+G205)*Escalation!$B$4,0)</f>
        <v/>
      </c>
      <c r="Q205">
        <f>IF(K205="Y",(D205+C205*(E205+F205)+G205)*Escalation!$B$5,0)</f>
        <v/>
      </c>
      <c r="R205">
        <f>IF(L205="Y",(D205+C205*(E205+F205)+G205)*Escalation!$B$6,0)</f>
        <v/>
      </c>
      <c r="S205">
        <f>IF(M205="Y",(D205+C205*(E205+F205)+G205)*Escalation!$B$7,0)</f>
        <v/>
      </c>
      <c r="T205">
        <f>SUM(N205:S205)</f>
        <v/>
      </c>
    </row>
    <row r="206">
      <c r="N206">
        <f>IF(H206="Y",(D206+C206*(E206+F206)+G206)*Escalation!$B$2,0)</f>
        <v/>
      </c>
      <c r="O206">
        <f>IF(I206="Y",(D206+C206*(E206+F206)+G206)*Escalation!$B$3,0)</f>
        <v/>
      </c>
      <c r="P206">
        <f>IF(J206="Y",(D206+C206*(E206+F206)+G206)*Escalation!$B$4,0)</f>
        <v/>
      </c>
      <c r="Q206">
        <f>IF(K206="Y",(D206+C206*(E206+F206)+G206)*Escalation!$B$5,0)</f>
        <v/>
      </c>
      <c r="R206">
        <f>IF(L206="Y",(D206+C206*(E206+F206)+G206)*Escalation!$B$6,0)</f>
        <v/>
      </c>
      <c r="S206">
        <f>IF(M206="Y",(D206+C206*(E206+F206)+G206)*Escalation!$B$7,0)</f>
        <v/>
      </c>
      <c r="T206">
        <f>SUM(N206:S206)</f>
        <v/>
      </c>
    </row>
    <row r="207">
      <c r="N207">
        <f>IF(H207="Y",(D207+C207*(E207+F207)+G207)*Escalation!$B$2,0)</f>
        <v/>
      </c>
      <c r="O207">
        <f>IF(I207="Y",(D207+C207*(E207+F207)+G207)*Escalation!$B$3,0)</f>
        <v/>
      </c>
      <c r="P207">
        <f>IF(J207="Y",(D207+C207*(E207+F207)+G207)*Escalation!$B$4,0)</f>
        <v/>
      </c>
      <c r="Q207">
        <f>IF(K207="Y",(D207+C207*(E207+F207)+G207)*Escalation!$B$5,0)</f>
        <v/>
      </c>
      <c r="R207">
        <f>IF(L207="Y",(D207+C207*(E207+F207)+G207)*Escalation!$B$6,0)</f>
        <v/>
      </c>
      <c r="S207">
        <f>IF(M207="Y",(D207+C207*(E207+F207)+G207)*Escalation!$B$7,0)</f>
        <v/>
      </c>
      <c r="T207">
        <f>SUM(N207:S207)</f>
        <v/>
      </c>
    </row>
    <row r="208">
      <c r="N208">
        <f>IF(H208="Y",(D208+C208*(E208+F208)+G208)*Escalation!$B$2,0)</f>
        <v/>
      </c>
      <c r="O208">
        <f>IF(I208="Y",(D208+C208*(E208+F208)+G208)*Escalation!$B$3,0)</f>
        <v/>
      </c>
      <c r="P208">
        <f>IF(J208="Y",(D208+C208*(E208+F208)+G208)*Escalation!$B$4,0)</f>
        <v/>
      </c>
      <c r="Q208">
        <f>IF(K208="Y",(D208+C208*(E208+F208)+G208)*Escalation!$B$5,0)</f>
        <v/>
      </c>
      <c r="R208">
        <f>IF(L208="Y",(D208+C208*(E208+F208)+G208)*Escalation!$B$6,0)</f>
        <v/>
      </c>
      <c r="S208">
        <f>IF(M208="Y",(D208+C208*(E208+F208)+G208)*Escalation!$B$7,0)</f>
        <v/>
      </c>
      <c r="T208">
        <f>SUM(N208:S208)</f>
        <v/>
      </c>
    </row>
    <row r="209">
      <c r="N209">
        <f>IF(H209="Y",(D209+C209*(E209+F209)+G209)*Escalation!$B$2,0)</f>
        <v/>
      </c>
      <c r="O209">
        <f>IF(I209="Y",(D209+C209*(E209+F209)+G209)*Escalation!$B$3,0)</f>
        <v/>
      </c>
      <c r="P209">
        <f>IF(J209="Y",(D209+C209*(E209+F209)+G209)*Escalation!$B$4,0)</f>
        <v/>
      </c>
      <c r="Q209">
        <f>IF(K209="Y",(D209+C209*(E209+F209)+G209)*Escalation!$B$5,0)</f>
        <v/>
      </c>
      <c r="R209">
        <f>IF(L209="Y",(D209+C209*(E209+F209)+G209)*Escalation!$B$6,0)</f>
        <v/>
      </c>
      <c r="S209">
        <f>IF(M209="Y",(D209+C209*(E209+F209)+G209)*Escalation!$B$7,0)</f>
        <v/>
      </c>
      <c r="T209">
        <f>SUM(N209:S209)</f>
        <v/>
      </c>
    </row>
    <row r="210">
      <c r="N210">
        <f>IF(H210="Y",(D210+C210*(E210+F210)+G210)*Escalation!$B$2,0)</f>
        <v/>
      </c>
      <c r="O210">
        <f>IF(I210="Y",(D210+C210*(E210+F210)+G210)*Escalation!$B$3,0)</f>
        <v/>
      </c>
      <c r="P210">
        <f>IF(J210="Y",(D210+C210*(E210+F210)+G210)*Escalation!$B$4,0)</f>
        <v/>
      </c>
      <c r="Q210">
        <f>IF(K210="Y",(D210+C210*(E210+F210)+G210)*Escalation!$B$5,0)</f>
        <v/>
      </c>
      <c r="R210">
        <f>IF(L210="Y",(D210+C210*(E210+F210)+G210)*Escalation!$B$6,0)</f>
        <v/>
      </c>
      <c r="S210">
        <f>IF(M210="Y",(D210+C210*(E210+F210)+G210)*Escalation!$B$7,0)</f>
        <v/>
      </c>
      <c r="T210">
        <f>SUM(N210:S210)</f>
        <v/>
      </c>
    </row>
    <row r="211">
      <c r="N211">
        <f>IF(H211="Y",(D211+C211*(E211+F211)+G211)*Escalation!$B$2,0)</f>
        <v/>
      </c>
      <c r="O211">
        <f>IF(I211="Y",(D211+C211*(E211+F211)+G211)*Escalation!$B$3,0)</f>
        <v/>
      </c>
      <c r="P211">
        <f>IF(J211="Y",(D211+C211*(E211+F211)+G211)*Escalation!$B$4,0)</f>
        <v/>
      </c>
      <c r="Q211">
        <f>IF(K211="Y",(D211+C211*(E211+F211)+G211)*Escalation!$B$5,0)</f>
        <v/>
      </c>
      <c r="R211">
        <f>IF(L211="Y",(D211+C211*(E211+F211)+G211)*Escalation!$B$6,0)</f>
        <v/>
      </c>
      <c r="S211">
        <f>IF(M211="Y",(D211+C211*(E211+F211)+G211)*Escalation!$B$7,0)</f>
        <v/>
      </c>
      <c r="T211">
        <f>SUM(N211:S211)</f>
        <v/>
      </c>
    </row>
    <row r="212">
      <c r="N212">
        <f>IF(H212="Y",(D212+C212*(E212+F212)+G212)*Escalation!$B$2,0)</f>
        <v/>
      </c>
      <c r="O212">
        <f>IF(I212="Y",(D212+C212*(E212+F212)+G212)*Escalation!$B$3,0)</f>
        <v/>
      </c>
      <c r="P212">
        <f>IF(J212="Y",(D212+C212*(E212+F212)+G212)*Escalation!$B$4,0)</f>
        <v/>
      </c>
      <c r="Q212">
        <f>IF(K212="Y",(D212+C212*(E212+F212)+G212)*Escalation!$B$5,0)</f>
        <v/>
      </c>
      <c r="R212">
        <f>IF(L212="Y",(D212+C212*(E212+F212)+G212)*Escalation!$B$6,0)</f>
        <v/>
      </c>
      <c r="S212">
        <f>IF(M212="Y",(D212+C212*(E212+F212)+G212)*Escalation!$B$7,0)</f>
        <v/>
      </c>
      <c r="T212">
        <f>SUM(N212:S212)</f>
        <v/>
      </c>
    </row>
    <row r="213">
      <c r="N213">
        <f>IF(H213="Y",(D213+C213*(E213+F213)+G213)*Escalation!$B$2,0)</f>
        <v/>
      </c>
      <c r="O213">
        <f>IF(I213="Y",(D213+C213*(E213+F213)+G213)*Escalation!$B$3,0)</f>
        <v/>
      </c>
      <c r="P213">
        <f>IF(J213="Y",(D213+C213*(E213+F213)+G213)*Escalation!$B$4,0)</f>
        <v/>
      </c>
      <c r="Q213">
        <f>IF(K213="Y",(D213+C213*(E213+F213)+G213)*Escalation!$B$5,0)</f>
        <v/>
      </c>
      <c r="R213">
        <f>IF(L213="Y",(D213+C213*(E213+F213)+G213)*Escalation!$B$6,0)</f>
        <v/>
      </c>
      <c r="S213">
        <f>IF(M213="Y",(D213+C213*(E213+F213)+G213)*Escalation!$B$7,0)</f>
        <v/>
      </c>
      <c r="T213">
        <f>SUM(N213:S213)</f>
        <v/>
      </c>
    </row>
    <row r="214">
      <c r="N214">
        <f>IF(H214="Y",(D214+C214*(E214+F214)+G214)*Escalation!$B$2,0)</f>
        <v/>
      </c>
      <c r="O214">
        <f>IF(I214="Y",(D214+C214*(E214+F214)+G214)*Escalation!$B$3,0)</f>
        <v/>
      </c>
      <c r="P214">
        <f>IF(J214="Y",(D214+C214*(E214+F214)+G214)*Escalation!$B$4,0)</f>
        <v/>
      </c>
      <c r="Q214">
        <f>IF(K214="Y",(D214+C214*(E214+F214)+G214)*Escalation!$B$5,0)</f>
        <v/>
      </c>
      <c r="R214">
        <f>IF(L214="Y",(D214+C214*(E214+F214)+G214)*Escalation!$B$6,0)</f>
        <v/>
      </c>
      <c r="S214">
        <f>IF(M214="Y",(D214+C214*(E214+F214)+G214)*Escalation!$B$7,0)</f>
        <v/>
      </c>
      <c r="T214">
        <f>SUM(N214:S214)</f>
        <v/>
      </c>
    </row>
    <row r="215">
      <c r="N215">
        <f>IF(H215="Y",(D215+C215*(E215+F215)+G215)*Escalation!$B$2,0)</f>
        <v/>
      </c>
      <c r="O215">
        <f>IF(I215="Y",(D215+C215*(E215+F215)+G215)*Escalation!$B$3,0)</f>
        <v/>
      </c>
      <c r="P215">
        <f>IF(J215="Y",(D215+C215*(E215+F215)+G215)*Escalation!$B$4,0)</f>
        <v/>
      </c>
      <c r="Q215">
        <f>IF(K215="Y",(D215+C215*(E215+F215)+G215)*Escalation!$B$5,0)</f>
        <v/>
      </c>
      <c r="R215">
        <f>IF(L215="Y",(D215+C215*(E215+F215)+G215)*Escalation!$B$6,0)</f>
        <v/>
      </c>
      <c r="S215">
        <f>IF(M215="Y",(D215+C215*(E215+F215)+G215)*Escalation!$B$7,0)</f>
        <v/>
      </c>
      <c r="T215">
        <f>SUM(N215:S215)</f>
        <v/>
      </c>
    </row>
    <row r="216">
      <c r="N216">
        <f>IF(H216="Y",(D216+C216*(E216+F216)+G216)*Escalation!$B$2,0)</f>
        <v/>
      </c>
      <c r="O216">
        <f>IF(I216="Y",(D216+C216*(E216+F216)+G216)*Escalation!$B$3,0)</f>
        <v/>
      </c>
      <c r="P216">
        <f>IF(J216="Y",(D216+C216*(E216+F216)+G216)*Escalation!$B$4,0)</f>
        <v/>
      </c>
      <c r="Q216">
        <f>IF(K216="Y",(D216+C216*(E216+F216)+G216)*Escalation!$B$5,0)</f>
        <v/>
      </c>
      <c r="R216">
        <f>IF(L216="Y",(D216+C216*(E216+F216)+G216)*Escalation!$B$6,0)</f>
        <v/>
      </c>
      <c r="S216">
        <f>IF(M216="Y",(D216+C216*(E216+F216)+G216)*Escalation!$B$7,0)</f>
        <v/>
      </c>
      <c r="T216">
        <f>SUM(N216:S216)</f>
        <v/>
      </c>
    </row>
    <row r="217">
      <c r="N217">
        <f>IF(H217="Y",(D217+C217*(E217+F217)+G217)*Escalation!$B$2,0)</f>
        <v/>
      </c>
      <c r="O217">
        <f>IF(I217="Y",(D217+C217*(E217+F217)+G217)*Escalation!$B$3,0)</f>
        <v/>
      </c>
      <c r="P217">
        <f>IF(J217="Y",(D217+C217*(E217+F217)+G217)*Escalation!$B$4,0)</f>
        <v/>
      </c>
      <c r="Q217">
        <f>IF(K217="Y",(D217+C217*(E217+F217)+G217)*Escalation!$B$5,0)</f>
        <v/>
      </c>
      <c r="R217">
        <f>IF(L217="Y",(D217+C217*(E217+F217)+G217)*Escalation!$B$6,0)</f>
        <v/>
      </c>
      <c r="S217">
        <f>IF(M217="Y",(D217+C217*(E217+F217)+G217)*Escalation!$B$7,0)</f>
        <v/>
      </c>
      <c r="T217">
        <f>SUM(N217:S217)</f>
        <v/>
      </c>
    </row>
    <row r="218">
      <c r="N218">
        <f>IF(H218="Y",(D218+C218*(E218+F218)+G218)*Escalation!$B$2,0)</f>
        <v/>
      </c>
      <c r="O218">
        <f>IF(I218="Y",(D218+C218*(E218+F218)+G218)*Escalation!$B$3,0)</f>
        <v/>
      </c>
      <c r="P218">
        <f>IF(J218="Y",(D218+C218*(E218+F218)+G218)*Escalation!$B$4,0)</f>
        <v/>
      </c>
      <c r="Q218">
        <f>IF(K218="Y",(D218+C218*(E218+F218)+G218)*Escalation!$B$5,0)</f>
        <v/>
      </c>
      <c r="R218">
        <f>IF(L218="Y",(D218+C218*(E218+F218)+G218)*Escalation!$B$6,0)</f>
        <v/>
      </c>
      <c r="S218">
        <f>IF(M218="Y",(D218+C218*(E218+F218)+G218)*Escalation!$B$7,0)</f>
        <v/>
      </c>
      <c r="T218">
        <f>SUM(N218:S218)</f>
        <v/>
      </c>
    </row>
    <row r="219">
      <c r="N219">
        <f>IF(H219="Y",(D219+C219*(E219+F219)+G219)*Escalation!$B$2,0)</f>
        <v/>
      </c>
      <c r="O219">
        <f>IF(I219="Y",(D219+C219*(E219+F219)+G219)*Escalation!$B$3,0)</f>
        <v/>
      </c>
      <c r="P219">
        <f>IF(J219="Y",(D219+C219*(E219+F219)+G219)*Escalation!$B$4,0)</f>
        <v/>
      </c>
      <c r="Q219">
        <f>IF(K219="Y",(D219+C219*(E219+F219)+G219)*Escalation!$B$5,0)</f>
        <v/>
      </c>
      <c r="R219">
        <f>IF(L219="Y",(D219+C219*(E219+F219)+G219)*Escalation!$B$6,0)</f>
        <v/>
      </c>
      <c r="S219">
        <f>IF(M219="Y",(D219+C219*(E219+F219)+G219)*Escalation!$B$7,0)</f>
        <v/>
      </c>
      <c r="T219">
        <f>SUM(N219:S219)</f>
        <v/>
      </c>
    </row>
    <row r="220">
      <c r="N220">
        <f>IF(H220="Y",(D220+C220*(E220+F220)+G220)*Escalation!$B$2,0)</f>
        <v/>
      </c>
      <c r="O220">
        <f>IF(I220="Y",(D220+C220*(E220+F220)+G220)*Escalation!$B$3,0)</f>
        <v/>
      </c>
      <c r="P220">
        <f>IF(J220="Y",(D220+C220*(E220+F220)+G220)*Escalation!$B$4,0)</f>
        <v/>
      </c>
      <c r="Q220">
        <f>IF(K220="Y",(D220+C220*(E220+F220)+G220)*Escalation!$B$5,0)</f>
        <v/>
      </c>
      <c r="R220">
        <f>IF(L220="Y",(D220+C220*(E220+F220)+G220)*Escalation!$B$6,0)</f>
        <v/>
      </c>
      <c r="S220">
        <f>IF(M220="Y",(D220+C220*(E220+F220)+G220)*Escalation!$B$7,0)</f>
        <v/>
      </c>
      <c r="T220">
        <f>SUM(N220:S220)</f>
        <v/>
      </c>
    </row>
    <row r="221">
      <c r="N221">
        <f>IF(H221="Y",(D221+C221*(E221+F221)+G221)*Escalation!$B$2,0)</f>
        <v/>
      </c>
      <c r="O221">
        <f>IF(I221="Y",(D221+C221*(E221+F221)+G221)*Escalation!$B$3,0)</f>
        <v/>
      </c>
      <c r="P221">
        <f>IF(J221="Y",(D221+C221*(E221+F221)+G221)*Escalation!$B$4,0)</f>
        <v/>
      </c>
      <c r="Q221">
        <f>IF(K221="Y",(D221+C221*(E221+F221)+G221)*Escalation!$B$5,0)</f>
        <v/>
      </c>
      <c r="R221">
        <f>IF(L221="Y",(D221+C221*(E221+F221)+G221)*Escalation!$B$6,0)</f>
        <v/>
      </c>
      <c r="S221">
        <f>IF(M221="Y",(D221+C221*(E221+F221)+G221)*Escalation!$B$7,0)</f>
        <v/>
      </c>
      <c r="T221">
        <f>SUM(N221:S221)</f>
        <v/>
      </c>
    </row>
    <row r="222">
      <c r="N222">
        <f>IF(H222="Y",(D222+C222*(E222+F222)+G222)*Escalation!$B$2,0)</f>
        <v/>
      </c>
      <c r="O222">
        <f>IF(I222="Y",(D222+C222*(E222+F222)+G222)*Escalation!$B$3,0)</f>
        <v/>
      </c>
      <c r="P222">
        <f>IF(J222="Y",(D222+C222*(E222+F222)+G222)*Escalation!$B$4,0)</f>
        <v/>
      </c>
      <c r="Q222">
        <f>IF(K222="Y",(D222+C222*(E222+F222)+G222)*Escalation!$B$5,0)</f>
        <v/>
      </c>
      <c r="R222">
        <f>IF(L222="Y",(D222+C222*(E222+F222)+G222)*Escalation!$B$6,0)</f>
        <v/>
      </c>
      <c r="S222">
        <f>IF(M222="Y",(D222+C222*(E222+F222)+G222)*Escalation!$B$7,0)</f>
        <v/>
      </c>
      <c r="T222">
        <f>SUM(N222:S222)</f>
        <v/>
      </c>
    </row>
    <row r="223">
      <c r="N223">
        <f>IF(H223="Y",(D223+C223*(E223+F223)+G223)*Escalation!$B$2,0)</f>
        <v/>
      </c>
      <c r="O223">
        <f>IF(I223="Y",(D223+C223*(E223+F223)+G223)*Escalation!$B$3,0)</f>
        <v/>
      </c>
      <c r="P223">
        <f>IF(J223="Y",(D223+C223*(E223+F223)+G223)*Escalation!$B$4,0)</f>
        <v/>
      </c>
      <c r="Q223">
        <f>IF(K223="Y",(D223+C223*(E223+F223)+G223)*Escalation!$B$5,0)</f>
        <v/>
      </c>
      <c r="R223">
        <f>IF(L223="Y",(D223+C223*(E223+F223)+G223)*Escalation!$B$6,0)</f>
        <v/>
      </c>
      <c r="S223">
        <f>IF(M223="Y",(D223+C223*(E223+F223)+G223)*Escalation!$B$7,0)</f>
        <v/>
      </c>
      <c r="T223">
        <f>SUM(N223:S223)</f>
        <v/>
      </c>
    </row>
    <row r="224">
      <c r="N224">
        <f>IF(H224="Y",(D224+C224*(E224+F224)+G224)*Escalation!$B$2,0)</f>
        <v/>
      </c>
      <c r="O224">
        <f>IF(I224="Y",(D224+C224*(E224+F224)+G224)*Escalation!$B$3,0)</f>
        <v/>
      </c>
      <c r="P224">
        <f>IF(J224="Y",(D224+C224*(E224+F224)+G224)*Escalation!$B$4,0)</f>
        <v/>
      </c>
      <c r="Q224">
        <f>IF(K224="Y",(D224+C224*(E224+F224)+G224)*Escalation!$B$5,0)</f>
        <v/>
      </c>
      <c r="R224">
        <f>IF(L224="Y",(D224+C224*(E224+F224)+G224)*Escalation!$B$6,0)</f>
        <v/>
      </c>
      <c r="S224">
        <f>IF(M224="Y",(D224+C224*(E224+F224)+G224)*Escalation!$B$7,0)</f>
        <v/>
      </c>
      <c r="T224">
        <f>SUM(N224:S224)</f>
        <v/>
      </c>
    </row>
    <row r="225">
      <c r="N225">
        <f>IF(H225="Y",(D225+C225*(E225+F225)+G225)*Escalation!$B$2,0)</f>
        <v/>
      </c>
      <c r="O225">
        <f>IF(I225="Y",(D225+C225*(E225+F225)+G225)*Escalation!$B$3,0)</f>
        <v/>
      </c>
      <c r="P225">
        <f>IF(J225="Y",(D225+C225*(E225+F225)+G225)*Escalation!$B$4,0)</f>
        <v/>
      </c>
      <c r="Q225">
        <f>IF(K225="Y",(D225+C225*(E225+F225)+G225)*Escalation!$B$5,0)</f>
        <v/>
      </c>
      <c r="R225">
        <f>IF(L225="Y",(D225+C225*(E225+F225)+G225)*Escalation!$B$6,0)</f>
        <v/>
      </c>
      <c r="S225">
        <f>IF(M225="Y",(D225+C225*(E225+F225)+G225)*Escalation!$B$7,0)</f>
        <v/>
      </c>
      <c r="T225">
        <f>SUM(N225:S225)</f>
        <v/>
      </c>
    </row>
    <row r="226">
      <c r="N226">
        <f>IF(H226="Y",(D226+C226*(E226+F226)+G226)*Escalation!$B$2,0)</f>
        <v/>
      </c>
      <c r="O226">
        <f>IF(I226="Y",(D226+C226*(E226+F226)+G226)*Escalation!$B$3,0)</f>
        <v/>
      </c>
      <c r="P226">
        <f>IF(J226="Y",(D226+C226*(E226+F226)+G226)*Escalation!$B$4,0)</f>
        <v/>
      </c>
      <c r="Q226">
        <f>IF(K226="Y",(D226+C226*(E226+F226)+G226)*Escalation!$B$5,0)</f>
        <v/>
      </c>
      <c r="R226">
        <f>IF(L226="Y",(D226+C226*(E226+F226)+G226)*Escalation!$B$6,0)</f>
        <v/>
      </c>
      <c r="S226">
        <f>IF(M226="Y",(D226+C226*(E226+F226)+G226)*Escalation!$B$7,0)</f>
        <v/>
      </c>
      <c r="T226">
        <f>SUM(N226:S226)</f>
        <v/>
      </c>
    </row>
    <row r="227">
      <c r="N227">
        <f>IF(H227="Y",(D227+C227*(E227+F227)+G227)*Escalation!$B$2,0)</f>
        <v/>
      </c>
      <c r="O227">
        <f>IF(I227="Y",(D227+C227*(E227+F227)+G227)*Escalation!$B$3,0)</f>
        <v/>
      </c>
      <c r="P227">
        <f>IF(J227="Y",(D227+C227*(E227+F227)+G227)*Escalation!$B$4,0)</f>
        <v/>
      </c>
      <c r="Q227">
        <f>IF(K227="Y",(D227+C227*(E227+F227)+G227)*Escalation!$B$5,0)</f>
        <v/>
      </c>
      <c r="R227">
        <f>IF(L227="Y",(D227+C227*(E227+F227)+G227)*Escalation!$B$6,0)</f>
        <v/>
      </c>
      <c r="S227">
        <f>IF(M227="Y",(D227+C227*(E227+F227)+G227)*Escalation!$B$7,0)</f>
        <v/>
      </c>
      <c r="T227">
        <f>SUM(N227:S227)</f>
        <v/>
      </c>
    </row>
    <row r="228">
      <c r="N228">
        <f>IF(H228="Y",(D228+C228*(E228+F228)+G228)*Escalation!$B$2,0)</f>
        <v/>
      </c>
      <c r="O228">
        <f>IF(I228="Y",(D228+C228*(E228+F228)+G228)*Escalation!$B$3,0)</f>
        <v/>
      </c>
      <c r="P228">
        <f>IF(J228="Y",(D228+C228*(E228+F228)+G228)*Escalation!$B$4,0)</f>
        <v/>
      </c>
      <c r="Q228">
        <f>IF(K228="Y",(D228+C228*(E228+F228)+G228)*Escalation!$B$5,0)</f>
        <v/>
      </c>
      <c r="R228">
        <f>IF(L228="Y",(D228+C228*(E228+F228)+G228)*Escalation!$B$6,0)</f>
        <v/>
      </c>
      <c r="S228">
        <f>IF(M228="Y",(D228+C228*(E228+F228)+G228)*Escalation!$B$7,0)</f>
        <v/>
      </c>
      <c r="T228">
        <f>SUM(N228:S228)</f>
        <v/>
      </c>
    </row>
    <row r="229">
      <c r="N229">
        <f>IF(H229="Y",(D229+C229*(E229+F229)+G229)*Escalation!$B$2,0)</f>
        <v/>
      </c>
      <c r="O229">
        <f>IF(I229="Y",(D229+C229*(E229+F229)+G229)*Escalation!$B$3,0)</f>
        <v/>
      </c>
      <c r="P229">
        <f>IF(J229="Y",(D229+C229*(E229+F229)+G229)*Escalation!$B$4,0)</f>
        <v/>
      </c>
      <c r="Q229">
        <f>IF(K229="Y",(D229+C229*(E229+F229)+G229)*Escalation!$B$5,0)</f>
        <v/>
      </c>
      <c r="R229">
        <f>IF(L229="Y",(D229+C229*(E229+F229)+G229)*Escalation!$B$6,0)</f>
        <v/>
      </c>
      <c r="S229">
        <f>IF(M229="Y",(D229+C229*(E229+F229)+G229)*Escalation!$B$7,0)</f>
        <v/>
      </c>
      <c r="T229">
        <f>SUM(N229:S229)</f>
        <v/>
      </c>
    </row>
    <row r="230">
      <c r="N230">
        <f>IF(H230="Y",(D230+C230*(E230+F230)+G230)*Escalation!$B$2,0)</f>
        <v/>
      </c>
      <c r="O230">
        <f>IF(I230="Y",(D230+C230*(E230+F230)+G230)*Escalation!$B$3,0)</f>
        <v/>
      </c>
      <c r="P230">
        <f>IF(J230="Y",(D230+C230*(E230+F230)+G230)*Escalation!$B$4,0)</f>
        <v/>
      </c>
      <c r="Q230">
        <f>IF(K230="Y",(D230+C230*(E230+F230)+G230)*Escalation!$B$5,0)</f>
        <v/>
      </c>
      <c r="R230">
        <f>IF(L230="Y",(D230+C230*(E230+F230)+G230)*Escalation!$B$6,0)</f>
        <v/>
      </c>
      <c r="S230">
        <f>IF(M230="Y",(D230+C230*(E230+F230)+G230)*Escalation!$B$7,0)</f>
        <v/>
      </c>
      <c r="T230">
        <f>SUM(N230:S230)</f>
        <v/>
      </c>
    </row>
    <row r="231">
      <c r="N231">
        <f>IF(H231="Y",(D231+C231*(E231+F231)+G231)*Escalation!$B$2,0)</f>
        <v/>
      </c>
      <c r="O231">
        <f>IF(I231="Y",(D231+C231*(E231+F231)+G231)*Escalation!$B$3,0)</f>
        <v/>
      </c>
      <c r="P231">
        <f>IF(J231="Y",(D231+C231*(E231+F231)+G231)*Escalation!$B$4,0)</f>
        <v/>
      </c>
      <c r="Q231">
        <f>IF(K231="Y",(D231+C231*(E231+F231)+G231)*Escalation!$B$5,0)</f>
        <v/>
      </c>
      <c r="R231">
        <f>IF(L231="Y",(D231+C231*(E231+F231)+G231)*Escalation!$B$6,0)</f>
        <v/>
      </c>
      <c r="S231">
        <f>IF(M231="Y",(D231+C231*(E231+F231)+G231)*Escalation!$B$7,0)</f>
        <v/>
      </c>
      <c r="T231">
        <f>SUM(N231:S231)</f>
        <v/>
      </c>
    </row>
    <row r="232">
      <c r="N232">
        <f>IF(H232="Y",(D232+C232*(E232+F232)+G232)*Escalation!$B$2,0)</f>
        <v/>
      </c>
      <c r="O232">
        <f>IF(I232="Y",(D232+C232*(E232+F232)+G232)*Escalation!$B$3,0)</f>
        <v/>
      </c>
      <c r="P232">
        <f>IF(J232="Y",(D232+C232*(E232+F232)+G232)*Escalation!$B$4,0)</f>
        <v/>
      </c>
      <c r="Q232">
        <f>IF(K232="Y",(D232+C232*(E232+F232)+G232)*Escalation!$B$5,0)</f>
        <v/>
      </c>
      <c r="R232">
        <f>IF(L232="Y",(D232+C232*(E232+F232)+G232)*Escalation!$B$6,0)</f>
        <v/>
      </c>
      <c r="S232">
        <f>IF(M232="Y",(D232+C232*(E232+F232)+G232)*Escalation!$B$7,0)</f>
        <v/>
      </c>
      <c r="T232">
        <f>SUM(N232:S232)</f>
        <v/>
      </c>
    </row>
    <row r="233">
      <c r="N233">
        <f>IF(H233="Y",(D233+C233*(E233+F233)+G233)*Escalation!$B$2,0)</f>
        <v/>
      </c>
      <c r="O233">
        <f>IF(I233="Y",(D233+C233*(E233+F233)+G233)*Escalation!$B$3,0)</f>
        <v/>
      </c>
      <c r="P233">
        <f>IF(J233="Y",(D233+C233*(E233+F233)+G233)*Escalation!$B$4,0)</f>
        <v/>
      </c>
      <c r="Q233">
        <f>IF(K233="Y",(D233+C233*(E233+F233)+G233)*Escalation!$B$5,0)</f>
        <v/>
      </c>
      <c r="R233">
        <f>IF(L233="Y",(D233+C233*(E233+F233)+G233)*Escalation!$B$6,0)</f>
        <v/>
      </c>
      <c r="S233">
        <f>IF(M233="Y",(D233+C233*(E233+F233)+G233)*Escalation!$B$7,0)</f>
        <v/>
      </c>
      <c r="T233">
        <f>SUM(N233:S233)</f>
        <v/>
      </c>
    </row>
    <row r="234">
      <c r="N234">
        <f>IF(H234="Y",(D234+C234*(E234+F234)+G234)*Escalation!$B$2,0)</f>
        <v/>
      </c>
      <c r="O234">
        <f>IF(I234="Y",(D234+C234*(E234+F234)+G234)*Escalation!$B$3,0)</f>
        <v/>
      </c>
      <c r="P234">
        <f>IF(J234="Y",(D234+C234*(E234+F234)+G234)*Escalation!$B$4,0)</f>
        <v/>
      </c>
      <c r="Q234">
        <f>IF(K234="Y",(D234+C234*(E234+F234)+G234)*Escalation!$B$5,0)</f>
        <v/>
      </c>
      <c r="R234">
        <f>IF(L234="Y",(D234+C234*(E234+F234)+G234)*Escalation!$B$6,0)</f>
        <v/>
      </c>
      <c r="S234">
        <f>IF(M234="Y",(D234+C234*(E234+F234)+G234)*Escalation!$B$7,0)</f>
        <v/>
      </c>
      <c r="T234">
        <f>SUM(N234:S234)</f>
        <v/>
      </c>
    </row>
    <row r="235">
      <c r="N235">
        <f>IF(H235="Y",(D235+C235*(E235+F235)+G235)*Escalation!$B$2,0)</f>
        <v/>
      </c>
      <c r="O235">
        <f>IF(I235="Y",(D235+C235*(E235+F235)+G235)*Escalation!$B$3,0)</f>
        <v/>
      </c>
      <c r="P235">
        <f>IF(J235="Y",(D235+C235*(E235+F235)+G235)*Escalation!$B$4,0)</f>
        <v/>
      </c>
      <c r="Q235">
        <f>IF(K235="Y",(D235+C235*(E235+F235)+G235)*Escalation!$B$5,0)</f>
        <v/>
      </c>
      <c r="R235">
        <f>IF(L235="Y",(D235+C235*(E235+F235)+G235)*Escalation!$B$6,0)</f>
        <v/>
      </c>
      <c r="S235">
        <f>IF(M235="Y",(D235+C235*(E235+F235)+G235)*Escalation!$B$7,0)</f>
        <v/>
      </c>
      <c r="T235">
        <f>SUM(N235:S235)</f>
        <v/>
      </c>
    </row>
    <row r="236">
      <c r="N236">
        <f>IF(H236="Y",(D236+C236*(E236+F236)+G236)*Escalation!$B$2,0)</f>
        <v/>
      </c>
      <c r="O236">
        <f>IF(I236="Y",(D236+C236*(E236+F236)+G236)*Escalation!$B$3,0)</f>
        <v/>
      </c>
      <c r="P236">
        <f>IF(J236="Y",(D236+C236*(E236+F236)+G236)*Escalation!$B$4,0)</f>
        <v/>
      </c>
      <c r="Q236">
        <f>IF(K236="Y",(D236+C236*(E236+F236)+G236)*Escalation!$B$5,0)</f>
        <v/>
      </c>
      <c r="R236">
        <f>IF(L236="Y",(D236+C236*(E236+F236)+G236)*Escalation!$B$6,0)</f>
        <v/>
      </c>
      <c r="S236">
        <f>IF(M236="Y",(D236+C236*(E236+F236)+G236)*Escalation!$B$7,0)</f>
        <v/>
      </c>
      <c r="T236">
        <f>SUM(N236:S236)</f>
        <v/>
      </c>
    </row>
    <row r="237">
      <c r="N237">
        <f>IF(H237="Y",(D237+C237*(E237+F237)+G237)*Escalation!$B$2,0)</f>
        <v/>
      </c>
      <c r="O237">
        <f>IF(I237="Y",(D237+C237*(E237+F237)+G237)*Escalation!$B$3,0)</f>
        <v/>
      </c>
      <c r="P237">
        <f>IF(J237="Y",(D237+C237*(E237+F237)+G237)*Escalation!$B$4,0)</f>
        <v/>
      </c>
      <c r="Q237">
        <f>IF(K237="Y",(D237+C237*(E237+F237)+G237)*Escalation!$B$5,0)</f>
        <v/>
      </c>
      <c r="R237">
        <f>IF(L237="Y",(D237+C237*(E237+F237)+G237)*Escalation!$B$6,0)</f>
        <v/>
      </c>
      <c r="S237">
        <f>IF(M237="Y",(D237+C237*(E237+F237)+G237)*Escalation!$B$7,0)</f>
        <v/>
      </c>
      <c r="T237">
        <f>SUM(N237:S237)</f>
        <v/>
      </c>
    </row>
    <row r="238">
      <c r="N238">
        <f>IF(H238="Y",(D238+C238*(E238+F238)+G238)*Escalation!$B$2,0)</f>
        <v/>
      </c>
      <c r="O238">
        <f>IF(I238="Y",(D238+C238*(E238+F238)+G238)*Escalation!$B$3,0)</f>
        <v/>
      </c>
      <c r="P238">
        <f>IF(J238="Y",(D238+C238*(E238+F238)+G238)*Escalation!$B$4,0)</f>
        <v/>
      </c>
      <c r="Q238">
        <f>IF(K238="Y",(D238+C238*(E238+F238)+G238)*Escalation!$B$5,0)</f>
        <v/>
      </c>
      <c r="R238">
        <f>IF(L238="Y",(D238+C238*(E238+F238)+G238)*Escalation!$B$6,0)</f>
        <v/>
      </c>
      <c r="S238">
        <f>IF(M238="Y",(D238+C238*(E238+F238)+G238)*Escalation!$B$7,0)</f>
        <v/>
      </c>
      <c r="T238">
        <f>SUM(N238:S238)</f>
        <v/>
      </c>
    </row>
    <row r="239">
      <c r="N239">
        <f>IF(H239="Y",(D239+C239*(E239+F239)+G239)*Escalation!$B$2,0)</f>
        <v/>
      </c>
      <c r="O239">
        <f>IF(I239="Y",(D239+C239*(E239+F239)+G239)*Escalation!$B$3,0)</f>
        <v/>
      </c>
      <c r="P239">
        <f>IF(J239="Y",(D239+C239*(E239+F239)+G239)*Escalation!$B$4,0)</f>
        <v/>
      </c>
      <c r="Q239">
        <f>IF(K239="Y",(D239+C239*(E239+F239)+G239)*Escalation!$B$5,0)</f>
        <v/>
      </c>
      <c r="R239">
        <f>IF(L239="Y",(D239+C239*(E239+F239)+G239)*Escalation!$B$6,0)</f>
        <v/>
      </c>
      <c r="S239">
        <f>IF(M239="Y",(D239+C239*(E239+F239)+G239)*Escalation!$B$7,0)</f>
        <v/>
      </c>
      <c r="T239">
        <f>SUM(N239:S239)</f>
        <v/>
      </c>
    </row>
    <row r="240">
      <c r="N240">
        <f>IF(H240="Y",(D240+C240*(E240+F240)+G240)*Escalation!$B$2,0)</f>
        <v/>
      </c>
      <c r="O240">
        <f>IF(I240="Y",(D240+C240*(E240+F240)+G240)*Escalation!$B$3,0)</f>
        <v/>
      </c>
      <c r="P240">
        <f>IF(J240="Y",(D240+C240*(E240+F240)+G240)*Escalation!$B$4,0)</f>
        <v/>
      </c>
      <c r="Q240">
        <f>IF(K240="Y",(D240+C240*(E240+F240)+G240)*Escalation!$B$5,0)</f>
        <v/>
      </c>
      <c r="R240">
        <f>IF(L240="Y",(D240+C240*(E240+F240)+G240)*Escalation!$B$6,0)</f>
        <v/>
      </c>
      <c r="S240">
        <f>IF(M240="Y",(D240+C240*(E240+F240)+G240)*Escalation!$B$7,0)</f>
        <v/>
      </c>
      <c r="T240">
        <f>SUM(N240:S240)</f>
        <v/>
      </c>
    </row>
    <row r="241">
      <c r="N241">
        <f>IF(H241="Y",(D241+C241*(E241+F241)+G241)*Escalation!$B$2,0)</f>
        <v/>
      </c>
      <c r="O241">
        <f>IF(I241="Y",(D241+C241*(E241+F241)+G241)*Escalation!$B$3,0)</f>
        <v/>
      </c>
      <c r="P241">
        <f>IF(J241="Y",(D241+C241*(E241+F241)+G241)*Escalation!$B$4,0)</f>
        <v/>
      </c>
      <c r="Q241">
        <f>IF(K241="Y",(D241+C241*(E241+F241)+G241)*Escalation!$B$5,0)</f>
        <v/>
      </c>
      <c r="R241">
        <f>IF(L241="Y",(D241+C241*(E241+F241)+G241)*Escalation!$B$6,0)</f>
        <v/>
      </c>
      <c r="S241">
        <f>IF(M241="Y",(D241+C241*(E241+F241)+G241)*Escalation!$B$7,0)</f>
        <v/>
      </c>
      <c r="T241">
        <f>SUM(N241:S241)</f>
        <v/>
      </c>
    </row>
    <row r="242">
      <c r="N242">
        <f>IF(H242="Y",(D242+C242*(E242+F242)+G242)*Escalation!$B$2,0)</f>
        <v/>
      </c>
      <c r="O242">
        <f>IF(I242="Y",(D242+C242*(E242+F242)+G242)*Escalation!$B$3,0)</f>
        <v/>
      </c>
      <c r="P242">
        <f>IF(J242="Y",(D242+C242*(E242+F242)+G242)*Escalation!$B$4,0)</f>
        <v/>
      </c>
      <c r="Q242">
        <f>IF(K242="Y",(D242+C242*(E242+F242)+G242)*Escalation!$B$5,0)</f>
        <v/>
      </c>
      <c r="R242">
        <f>IF(L242="Y",(D242+C242*(E242+F242)+G242)*Escalation!$B$6,0)</f>
        <v/>
      </c>
      <c r="S242">
        <f>IF(M242="Y",(D242+C242*(E242+F242)+G242)*Escalation!$B$7,0)</f>
        <v/>
      </c>
      <c r="T242">
        <f>SUM(N242:S242)</f>
        <v/>
      </c>
    </row>
    <row r="243">
      <c r="N243">
        <f>IF(H243="Y",(D243+C243*(E243+F243)+G243)*Escalation!$B$2,0)</f>
        <v/>
      </c>
      <c r="O243">
        <f>IF(I243="Y",(D243+C243*(E243+F243)+G243)*Escalation!$B$3,0)</f>
        <v/>
      </c>
      <c r="P243">
        <f>IF(J243="Y",(D243+C243*(E243+F243)+G243)*Escalation!$B$4,0)</f>
        <v/>
      </c>
      <c r="Q243">
        <f>IF(K243="Y",(D243+C243*(E243+F243)+G243)*Escalation!$B$5,0)</f>
        <v/>
      </c>
      <c r="R243">
        <f>IF(L243="Y",(D243+C243*(E243+F243)+G243)*Escalation!$B$6,0)</f>
        <v/>
      </c>
      <c r="S243">
        <f>IF(M243="Y",(D243+C243*(E243+F243)+G243)*Escalation!$B$7,0)</f>
        <v/>
      </c>
      <c r="T243">
        <f>SUM(N243:S243)</f>
        <v/>
      </c>
    </row>
    <row r="244">
      <c r="N244">
        <f>IF(H244="Y",(D244+C244*(E244+F244)+G244)*Escalation!$B$2,0)</f>
        <v/>
      </c>
      <c r="O244">
        <f>IF(I244="Y",(D244+C244*(E244+F244)+G244)*Escalation!$B$3,0)</f>
        <v/>
      </c>
      <c r="P244">
        <f>IF(J244="Y",(D244+C244*(E244+F244)+G244)*Escalation!$B$4,0)</f>
        <v/>
      </c>
      <c r="Q244">
        <f>IF(K244="Y",(D244+C244*(E244+F244)+G244)*Escalation!$B$5,0)</f>
        <v/>
      </c>
      <c r="R244">
        <f>IF(L244="Y",(D244+C244*(E244+F244)+G244)*Escalation!$B$6,0)</f>
        <v/>
      </c>
      <c r="S244">
        <f>IF(M244="Y",(D244+C244*(E244+F244)+G244)*Escalation!$B$7,0)</f>
        <v/>
      </c>
      <c r="T244">
        <f>SUM(N244:S244)</f>
        <v/>
      </c>
    </row>
    <row r="245">
      <c r="N245">
        <f>IF(H245="Y",(D245+C245*(E245+F245)+G245)*Escalation!$B$2,0)</f>
        <v/>
      </c>
      <c r="O245">
        <f>IF(I245="Y",(D245+C245*(E245+F245)+G245)*Escalation!$B$3,0)</f>
        <v/>
      </c>
      <c r="P245">
        <f>IF(J245="Y",(D245+C245*(E245+F245)+G245)*Escalation!$B$4,0)</f>
        <v/>
      </c>
      <c r="Q245">
        <f>IF(K245="Y",(D245+C245*(E245+F245)+G245)*Escalation!$B$5,0)</f>
        <v/>
      </c>
      <c r="R245">
        <f>IF(L245="Y",(D245+C245*(E245+F245)+G245)*Escalation!$B$6,0)</f>
        <v/>
      </c>
      <c r="S245">
        <f>IF(M245="Y",(D245+C245*(E245+F245)+G245)*Escalation!$B$7,0)</f>
        <v/>
      </c>
      <c r="T245">
        <f>SUM(N245:S245)</f>
        <v/>
      </c>
    </row>
    <row r="246">
      <c r="N246">
        <f>IF(H246="Y",(D246+C246*(E246+F246)+G246)*Escalation!$B$2,0)</f>
        <v/>
      </c>
      <c r="O246">
        <f>IF(I246="Y",(D246+C246*(E246+F246)+G246)*Escalation!$B$3,0)</f>
        <v/>
      </c>
      <c r="P246">
        <f>IF(J246="Y",(D246+C246*(E246+F246)+G246)*Escalation!$B$4,0)</f>
        <v/>
      </c>
      <c r="Q246">
        <f>IF(K246="Y",(D246+C246*(E246+F246)+G246)*Escalation!$B$5,0)</f>
        <v/>
      </c>
      <c r="R246">
        <f>IF(L246="Y",(D246+C246*(E246+F246)+G246)*Escalation!$B$6,0)</f>
        <v/>
      </c>
      <c r="S246">
        <f>IF(M246="Y",(D246+C246*(E246+F246)+G246)*Escalation!$B$7,0)</f>
        <v/>
      </c>
      <c r="T246">
        <f>SUM(N246:S246)</f>
        <v/>
      </c>
    </row>
    <row r="247">
      <c r="N247">
        <f>IF(H247="Y",(D247+C247*(E247+F247)+G247)*Escalation!$B$2,0)</f>
        <v/>
      </c>
      <c r="O247">
        <f>IF(I247="Y",(D247+C247*(E247+F247)+G247)*Escalation!$B$3,0)</f>
        <v/>
      </c>
      <c r="P247">
        <f>IF(J247="Y",(D247+C247*(E247+F247)+G247)*Escalation!$B$4,0)</f>
        <v/>
      </c>
      <c r="Q247">
        <f>IF(K247="Y",(D247+C247*(E247+F247)+G247)*Escalation!$B$5,0)</f>
        <v/>
      </c>
      <c r="R247">
        <f>IF(L247="Y",(D247+C247*(E247+F247)+G247)*Escalation!$B$6,0)</f>
        <v/>
      </c>
      <c r="S247">
        <f>IF(M247="Y",(D247+C247*(E247+F247)+G247)*Escalation!$B$7,0)</f>
        <v/>
      </c>
      <c r="T247">
        <f>SUM(N247:S247)</f>
        <v/>
      </c>
    </row>
    <row r="248">
      <c r="N248">
        <f>IF(H248="Y",(D248+C248*(E248+F248)+G248)*Escalation!$B$2,0)</f>
        <v/>
      </c>
      <c r="O248">
        <f>IF(I248="Y",(D248+C248*(E248+F248)+G248)*Escalation!$B$3,0)</f>
        <v/>
      </c>
      <c r="P248">
        <f>IF(J248="Y",(D248+C248*(E248+F248)+G248)*Escalation!$B$4,0)</f>
        <v/>
      </c>
      <c r="Q248">
        <f>IF(K248="Y",(D248+C248*(E248+F248)+G248)*Escalation!$B$5,0)</f>
        <v/>
      </c>
      <c r="R248">
        <f>IF(L248="Y",(D248+C248*(E248+F248)+G248)*Escalation!$B$6,0)</f>
        <v/>
      </c>
      <c r="S248">
        <f>IF(M248="Y",(D248+C248*(E248+F248)+G248)*Escalation!$B$7,0)</f>
        <v/>
      </c>
      <c r="T248">
        <f>SUM(N248:S248)</f>
        <v/>
      </c>
    </row>
    <row r="249">
      <c r="N249">
        <f>IF(H249="Y",(D249+C249*(E249+F249)+G249)*Escalation!$B$2,0)</f>
        <v/>
      </c>
      <c r="O249">
        <f>IF(I249="Y",(D249+C249*(E249+F249)+G249)*Escalation!$B$3,0)</f>
        <v/>
      </c>
      <c r="P249">
        <f>IF(J249="Y",(D249+C249*(E249+F249)+G249)*Escalation!$B$4,0)</f>
        <v/>
      </c>
      <c r="Q249">
        <f>IF(K249="Y",(D249+C249*(E249+F249)+G249)*Escalation!$B$5,0)</f>
        <v/>
      </c>
      <c r="R249">
        <f>IF(L249="Y",(D249+C249*(E249+F249)+G249)*Escalation!$B$6,0)</f>
        <v/>
      </c>
      <c r="S249">
        <f>IF(M249="Y",(D249+C249*(E249+F249)+G249)*Escalation!$B$7,0)</f>
        <v/>
      </c>
      <c r="T249">
        <f>SUM(N249:S249)</f>
        <v/>
      </c>
    </row>
    <row r="250">
      <c r="N250">
        <f>IF(H250="Y",(D250+C250*(E250+F250)+G250)*Escalation!$B$2,0)</f>
        <v/>
      </c>
      <c r="O250">
        <f>IF(I250="Y",(D250+C250*(E250+F250)+G250)*Escalation!$B$3,0)</f>
        <v/>
      </c>
      <c r="P250">
        <f>IF(J250="Y",(D250+C250*(E250+F250)+G250)*Escalation!$B$4,0)</f>
        <v/>
      </c>
      <c r="Q250">
        <f>IF(K250="Y",(D250+C250*(E250+F250)+G250)*Escalation!$B$5,0)</f>
        <v/>
      </c>
      <c r="R250">
        <f>IF(L250="Y",(D250+C250*(E250+F250)+G250)*Escalation!$B$6,0)</f>
        <v/>
      </c>
      <c r="S250">
        <f>IF(M250="Y",(D250+C250*(E250+F250)+G250)*Escalation!$B$7,0)</f>
        <v/>
      </c>
      <c r="T250">
        <f>SUM(N250:S250)</f>
        <v/>
      </c>
    </row>
    <row r="251">
      <c r="N251">
        <f>IF(H251="Y",(D251+C251*(E251+F251)+G251)*Escalation!$B$2,0)</f>
        <v/>
      </c>
      <c r="O251">
        <f>IF(I251="Y",(D251+C251*(E251+F251)+G251)*Escalation!$B$3,0)</f>
        <v/>
      </c>
      <c r="P251">
        <f>IF(J251="Y",(D251+C251*(E251+F251)+G251)*Escalation!$B$4,0)</f>
        <v/>
      </c>
      <c r="Q251">
        <f>IF(K251="Y",(D251+C251*(E251+F251)+G251)*Escalation!$B$5,0)</f>
        <v/>
      </c>
      <c r="R251">
        <f>IF(L251="Y",(D251+C251*(E251+F251)+G251)*Escalation!$B$6,0)</f>
        <v/>
      </c>
      <c r="S251">
        <f>IF(M251="Y",(D251+C251*(E251+F251)+G251)*Escalation!$B$7,0)</f>
        <v/>
      </c>
      <c r="T251">
        <f>SUM(N251:S251)</f>
        <v/>
      </c>
    </row>
    <row r="252">
      <c r="N252">
        <f>IF(H252="Y",(D252+C252*(E252+F252)+G252)*Escalation!$B$2,0)</f>
        <v/>
      </c>
      <c r="O252">
        <f>IF(I252="Y",(D252+C252*(E252+F252)+G252)*Escalation!$B$3,0)</f>
        <v/>
      </c>
      <c r="P252">
        <f>IF(J252="Y",(D252+C252*(E252+F252)+G252)*Escalation!$B$4,0)</f>
        <v/>
      </c>
      <c r="Q252">
        <f>IF(K252="Y",(D252+C252*(E252+F252)+G252)*Escalation!$B$5,0)</f>
        <v/>
      </c>
      <c r="R252">
        <f>IF(L252="Y",(D252+C252*(E252+F252)+G252)*Escalation!$B$6,0)</f>
        <v/>
      </c>
      <c r="S252">
        <f>IF(M252="Y",(D252+C252*(E252+F252)+G252)*Escalation!$B$7,0)</f>
        <v/>
      </c>
      <c r="T252">
        <f>SUM(N252:S252)</f>
        <v/>
      </c>
    </row>
    <row r="253">
      <c r="N253">
        <f>IF(H253="Y",(D253+C253*(E253+F253)+G253)*Escalation!$B$2,0)</f>
        <v/>
      </c>
      <c r="O253">
        <f>IF(I253="Y",(D253+C253*(E253+F253)+G253)*Escalation!$B$3,0)</f>
        <v/>
      </c>
      <c r="P253">
        <f>IF(J253="Y",(D253+C253*(E253+F253)+G253)*Escalation!$B$4,0)</f>
        <v/>
      </c>
      <c r="Q253">
        <f>IF(K253="Y",(D253+C253*(E253+F253)+G253)*Escalation!$B$5,0)</f>
        <v/>
      </c>
      <c r="R253">
        <f>IF(L253="Y",(D253+C253*(E253+F253)+G253)*Escalation!$B$6,0)</f>
        <v/>
      </c>
      <c r="S253">
        <f>IF(M253="Y",(D253+C253*(E253+F253)+G253)*Escalation!$B$7,0)</f>
        <v/>
      </c>
      <c r="T253">
        <f>SUM(N253:S253)</f>
        <v/>
      </c>
    </row>
    <row r="254">
      <c r="N254">
        <f>IF(H254="Y",(D254+C254*(E254+F254)+G254)*Escalation!$B$2,0)</f>
        <v/>
      </c>
      <c r="O254">
        <f>IF(I254="Y",(D254+C254*(E254+F254)+G254)*Escalation!$B$3,0)</f>
        <v/>
      </c>
      <c r="P254">
        <f>IF(J254="Y",(D254+C254*(E254+F254)+G254)*Escalation!$B$4,0)</f>
        <v/>
      </c>
      <c r="Q254">
        <f>IF(K254="Y",(D254+C254*(E254+F254)+G254)*Escalation!$B$5,0)</f>
        <v/>
      </c>
      <c r="R254">
        <f>IF(L254="Y",(D254+C254*(E254+F254)+G254)*Escalation!$B$6,0)</f>
        <v/>
      </c>
      <c r="S254">
        <f>IF(M254="Y",(D254+C254*(E254+F254)+G254)*Escalation!$B$7,0)</f>
        <v/>
      </c>
      <c r="T254">
        <f>SUM(N254:S254)</f>
        <v/>
      </c>
    </row>
    <row r="255">
      <c r="N255">
        <f>IF(H255="Y",(D255+C255*(E255+F255)+G255)*Escalation!$B$2,0)</f>
        <v/>
      </c>
      <c r="O255">
        <f>IF(I255="Y",(D255+C255*(E255+F255)+G255)*Escalation!$B$3,0)</f>
        <v/>
      </c>
      <c r="P255">
        <f>IF(J255="Y",(D255+C255*(E255+F255)+G255)*Escalation!$B$4,0)</f>
        <v/>
      </c>
      <c r="Q255">
        <f>IF(K255="Y",(D255+C255*(E255+F255)+G255)*Escalation!$B$5,0)</f>
        <v/>
      </c>
      <c r="R255">
        <f>IF(L255="Y",(D255+C255*(E255+F255)+G255)*Escalation!$B$6,0)</f>
        <v/>
      </c>
      <c r="S255">
        <f>IF(M255="Y",(D255+C255*(E255+F255)+G255)*Escalation!$B$7,0)</f>
        <v/>
      </c>
      <c r="T255">
        <f>SUM(N255:S255)</f>
        <v/>
      </c>
    </row>
    <row r="256">
      <c r="N256">
        <f>IF(H256="Y",(D256+C256*(E256+F256)+G256)*Escalation!$B$2,0)</f>
        <v/>
      </c>
      <c r="O256">
        <f>IF(I256="Y",(D256+C256*(E256+F256)+G256)*Escalation!$B$3,0)</f>
        <v/>
      </c>
      <c r="P256">
        <f>IF(J256="Y",(D256+C256*(E256+F256)+G256)*Escalation!$B$4,0)</f>
        <v/>
      </c>
      <c r="Q256">
        <f>IF(K256="Y",(D256+C256*(E256+F256)+G256)*Escalation!$B$5,0)</f>
        <v/>
      </c>
      <c r="R256">
        <f>IF(L256="Y",(D256+C256*(E256+F256)+G256)*Escalation!$B$6,0)</f>
        <v/>
      </c>
      <c r="S256">
        <f>IF(M256="Y",(D256+C256*(E256+F256)+G256)*Escalation!$B$7,0)</f>
        <v/>
      </c>
      <c r="T256">
        <f>SUM(N256:S256)</f>
        <v/>
      </c>
    </row>
    <row r="257">
      <c r="N257">
        <f>IF(H257="Y",(D257+C257*(E257+F257)+G257)*Escalation!$B$2,0)</f>
        <v/>
      </c>
      <c r="O257">
        <f>IF(I257="Y",(D257+C257*(E257+F257)+G257)*Escalation!$B$3,0)</f>
        <v/>
      </c>
      <c r="P257">
        <f>IF(J257="Y",(D257+C257*(E257+F257)+G257)*Escalation!$B$4,0)</f>
        <v/>
      </c>
      <c r="Q257">
        <f>IF(K257="Y",(D257+C257*(E257+F257)+G257)*Escalation!$B$5,0)</f>
        <v/>
      </c>
      <c r="R257">
        <f>IF(L257="Y",(D257+C257*(E257+F257)+G257)*Escalation!$B$6,0)</f>
        <v/>
      </c>
      <c r="S257">
        <f>IF(M257="Y",(D257+C257*(E257+F257)+G257)*Escalation!$B$7,0)</f>
        <v/>
      </c>
      <c r="T257">
        <f>SUM(N257:S257)</f>
        <v/>
      </c>
    </row>
    <row r="258">
      <c r="N258">
        <f>IF(H258="Y",(D258+C258*(E258+F258)+G258)*Escalation!$B$2,0)</f>
        <v/>
      </c>
      <c r="O258">
        <f>IF(I258="Y",(D258+C258*(E258+F258)+G258)*Escalation!$B$3,0)</f>
        <v/>
      </c>
      <c r="P258">
        <f>IF(J258="Y",(D258+C258*(E258+F258)+G258)*Escalation!$B$4,0)</f>
        <v/>
      </c>
      <c r="Q258">
        <f>IF(K258="Y",(D258+C258*(E258+F258)+G258)*Escalation!$B$5,0)</f>
        <v/>
      </c>
      <c r="R258">
        <f>IF(L258="Y",(D258+C258*(E258+F258)+G258)*Escalation!$B$6,0)</f>
        <v/>
      </c>
      <c r="S258">
        <f>IF(M258="Y",(D258+C258*(E258+F258)+G258)*Escalation!$B$7,0)</f>
        <v/>
      </c>
      <c r="T258">
        <f>SUM(N258:S258)</f>
        <v/>
      </c>
    </row>
    <row r="259">
      <c r="N259">
        <f>IF(H259="Y",(D259+C259*(E259+F259)+G259)*Escalation!$B$2,0)</f>
        <v/>
      </c>
      <c r="O259">
        <f>IF(I259="Y",(D259+C259*(E259+F259)+G259)*Escalation!$B$3,0)</f>
        <v/>
      </c>
      <c r="P259">
        <f>IF(J259="Y",(D259+C259*(E259+F259)+G259)*Escalation!$B$4,0)</f>
        <v/>
      </c>
      <c r="Q259">
        <f>IF(K259="Y",(D259+C259*(E259+F259)+G259)*Escalation!$B$5,0)</f>
        <v/>
      </c>
      <c r="R259">
        <f>IF(L259="Y",(D259+C259*(E259+F259)+G259)*Escalation!$B$6,0)</f>
        <v/>
      </c>
      <c r="S259">
        <f>IF(M259="Y",(D259+C259*(E259+F259)+G259)*Escalation!$B$7,0)</f>
        <v/>
      </c>
      <c r="T259">
        <f>SUM(N259:S259)</f>
        <v/>
      </c>
    </row>
    <row r="260">
      <c r="N260">
        <f>IF(H260="Y",(D260+C260*(E260+F260)+G260)*Escalation!$B$2,0)</f>
        <v/>
      </c>
      <c r="O260">
        <f>IF(I260="Y",(D260+C260*(E260+F260)+G260)*Escalation!$B$3,0)</f>
        <v/>
      </c>
      <c r="P260">
        <f>IF(J260="Y",(D260+C260*(E260+F260)+G260)*Escalation!$B$4,0)</f>
        <v/>
      </c>
      <c r="Q260">
        <f>IF(K260="Y",(D260+C260*(E260+F260)+G260)*Escalation!$B$5,0)</f>
        <v/>
      </c>
      <c r="R260">
        <f>IF(L260="Y",(D260+C260*(E260+F260)+G260)*Escalation!$B$6,0)</f>
        <v/>
      </c>
      <c r="S260">
        <f>IF(M260="Y",(D260+C260*(E260+F260)+G260)*Escalation!$B$7,0)</f>
        <v/>
      </c>
      <c r="T260">
        <f>SUM(N260:S260)</f>
        <v/>
      </c>
    </row>
    <row r="261">
      <c r="N261">
        <f>IF(H261="Y",(D261+C261*(E261+F261)+G261)*Escalation!$B$2,0)</f>
        <v/>
      </c>
      <c r="O261">
        <f>IF(I261="Y",(D261+C261*(E261+F261)+G261)*Escalation!$B$3,0)</f>
        <v/>
      </c>
      <c r="P261">
        <f>IF(J261="Y",(D261+C261*(E261+F261)+G261)*Escalation!$B$4,0)</f>
        <v/>
      </c>
      <c r="Q261">
        <f>IF(K261="Y",(D261+C261*(E261+F261)+G261)*Escalation!$B$5,0)</f>
        <v/>
      </c>
      <c r="R261">
        <f>IF(L261="Y",(D261+C261*(E261+F261)+G261)*Escalation!$B$6,0)</f>
        <v/>
      </c>
      <c r="S261">
        <f>IF(M261="Y",(D261+C261*(E261+F261)+G261)*Escalation!$B$7,0)</f>
        <v/>
      </c>
      <c r="T261">
        <f>SUM(N261:S261)</f>
        <v/>
      </c>
    </row>
    <row r="262">
      <c r="N262">
        <f>IF(H262="Y",(D262+C262*(E262+F262)+G262)*Escalation!$B$2,0)</f>
        <v/>
      </c>
      <c r="O262">
        <f>IF(I262="Y",(D262+C262*(E262+F262)+G262)*Escalation!$B$3,0)</f>
        <v/>
      </c>
      <c r="P262">
        <f>IF(J262="Y",(D262+C262*(E262+F262)+G262)*Escalation!$B$4,0)</f>
        <v/>
      </c>
      <c r="Q262">
        <f>IF(K262="Y",(D262+C262*(E262+F262)+G262)*Escalation!$B$5,0)</f>
        <v/>
      </c>
      <c r="R262">
        <f>IF(L262="Y",(D262+C262*(E262+F262)+G262)*Escalation!$B$6,0)</f>
        <v/>
      </c>
      <c r="S262">
        <f>IF(M262="Y",(D262+C262*(E262+F262)+G262)*Escalation!$B$7,0)</f>
        <v/>
      </c>
      <c r="T262">
        <f>SUM(N262:S262)</f>
        <v/>
      </c>
    </row>
    <row r="263">
      <c r="N263">
        <f>IF(H263="Y",(D263+C263*(E263+F263)+G263)*Escalation!$B$2,0)</f>
        <v/>
      </c>
      <c r="O263">
        <f>IF(I263="Y",(D263+C263*(E263+F263)+G263)*Escalation!$B$3,0)</f>
        <v/>
      </c>
      <c r="P263">
        <f>IF(J263="Y",(D263+C263*(E263+F263)+G263)*Escalation!$B$4,0)</f>
        <v/>
      </c>
      <c r="Q263">
        <f>IF(K263="Y",(D263+C263*(E263+F263)+G263)*Escalation!$B$5,0)</f>
        <v/>
      </c>
      <c r="R263">
        <f>IF(L263="Y",(D263+C263*(E263+F263)+G263)*Escalation!$B$6,0)</f>
        <v/>
      </c>
      <c r="S263">
        <f>IF(M263="Y",(D263+C263*(E263+F263)+G263)*Escalation!$B$7,0)</f>
        <v/>
      </c>
      <c r="T263">
        <f>SUM(N263:S263)</f>
        <v/>
      </c>
    </row>
    <row r="264">
      <c r="N264">
        <f>IF(H264="Y",(D264+C264*(E264+F264)+G264)*Escalation!$B$2,0)</f>
        <v/>
      </c>
      <c r="O264">
        <f>IF(I264="Y",(D264+C264*(E264+F264)+G264)*Escalation!$B$3,0)</f>
        <v/>
      </c>
      <c r="P264">
        <f>IF(J264="Y",(D264+C264*(E264+F264)+G264)*Escalation!$B$4,0)</f>
        <v/>
      </c>
      <c r="Q264">
        <f>IF(K264="Y",(D264+C264*(E264+F264)+G264)*Escalation!$B$5,0)</f>
        <v/>
      </c>
      <c r="R264">
        <f>IF(L264="Y",(D264+C264*(E264+F264)+G264)*Escalation!$B$6,0)</f>
        <v/>
      </c>
      <c r="S264">
        <f>IF(M264="Y",(D264+C264*(E264+F264)+G264)*Escalation!$B$7,0)</f>
        <v/>
      </c>
      <c r="T264">
        <f>SUM(N264:S264)</f>
        <v/>
      </c>
    </row>
    <row r="265">
      <c r="N265">
        <f>IF(H265="Y",(D265+C265*(E265+F265)+G265)*Escalation!$B$2,0)</f>
        <v/>
      </c>
      <c r="O265">
        <f>IF(I265="Y",(D265+C265*(E265+F265)+G265)*Escalation!$B$3,0)</f>
        <v/>
      </c>
      <c r="P265">
        <f>IF(J265="Y",(D265+C265*(E265+F265)+G265)*Escalation!$B$4,0)</f>
        <v/>
      </c>
      <c r="Q265">
        <f>IF(K265="Y",(D265+C265*(E265+F265)+G265)*Escalation!$B$5,0)</f>
        <v/>
      </c>
      <c r="R265">
        <f>IF(L265="Y",(D265+C265*(E265+F265)+G265)*Escalation!$B$6,0)</f>
        <v/>
      </c>
      <c r="S265">
        <f>IF(M265="Y",(D265+C265*(E265+F265)+G265)*Escalation!$B$7,0)</f>
        <v/>
      </c>
      <c r="T265">
        <f>SUM(N265:S265)</f>
        <v/>
      </c>
    </row>
    <row r="266">
      <c r="N266">
        <f>IF(H266="Y",(D266+C266*(E266+F266)+G266)*Escalation!$B$2,0)</f>
        <v/>
      </c>
      <c r="O266">
        <f>IF(I266="Y",(D266+C266*(E266+F266)+G266)*Escalation!$B$3,0)</f>
        <v/>
      </c>
      <c r="P266">
        <f>IF(J266="Y",(D266+C266*(E266+F266)+G266)*Escalation!$B$4,0)</f>
        <v/>
      </c>
      <c r="Q266">
        <f>IF(K266="Y",(D266+C266*(E266+F266)+G266)*Escalation!$B$5,0)</f>
        <v/>
      </c>
      <c r="R266">
        <f>IF(L266="Y",(D266+C266*(E266+F266)+G266)*Escalation!$B$6,0)</f>
        <v/>
      </c>
      <c r="S266">
        <f>IF(M266="Y",(D266+C266*(E266+F266)+G266)*Escalation!$B$7,0)</f>
        <v/>
      </c>
      <c r="T266">
        <f>SUM(N266:S266)</f>
        <v/>
      </c>
    </row>
    <row r="267">
      <c r="N267">
        <f>IF(H267="Y",(D267+C267*(E267+F267)+G267)*Escalation!$B$2,0)</f>
        <v/>
      </c>
      <c r="O267">
        <f>IF(I267="Y",(D267+C267*(E267+F267)+G267)*Escalation!$B$3,0)</f>
        <v/>
      </c>
      <c r="P267">
        <f>IF(J267="Y",(D267+C267*(E267+F267)+G267)*Escalation!$B$4,0)</f>
        <v/>
      </c>
      <c r="Q267">
        <f>IF(K267="Y",(D267+C267*(E267+F267)+G267)*Escalation!$B$5,0)</f>
        <v/>
      </c>
      <c r="R267">
        <f>IF(L267="Y",(D267+C267*(E267+F267)+G267)*Escalation!$B$6,0)</f>
        <v/>
      </c>
      <c r="S267">
        <f>IF(M267="Y",(D267+C267*(E267+F267)+G267)*Escalation!$B$7,0)</f>
        <v/>
      </c>
      <c r="T267">
        <f>SUM(N267:S267)</f>
        <v/>
      </c>
    </row>
    <row r="268">
      <c r="N268">
        <f>IF(H268="Y",(D268+C268*(E268+F268)+G268)*Escalation!$B$2,0)</f>
        <v/>
      </c>
      <c r="O268">
        <f>IF(I268="Y",(D268+C268*(E268+F268)+G268)*Escalation!$B$3,0)</f>
        <v/>
      </c>
      <c r="P268">
        <f>IF(J268="Y",(D268+C268*(E268+F268)+G268)*Escalation!$B$4,0)</f>
        <v/>
      </c>
      <c r="Q268">
        <f>IF(K268="Y",(D268+C268*(E268+F268)+G268)*Escalation!$B$5,0)</f>
        <v/>
      </c>
      <c r="R268">
        <f>IF(L268="Y",(D268+C268*(E268+F268)+G268)*Escalation!$B$6,0)</f>
        <v/>
      </c>
      <c r="S268">
        <f>IF(M268="Y",(D268+C268*(E268+F268)+G268)*Escalation!$B$7,0)</f>
        <v/>
      </c>
      <c r="T268">
        <f>SUM(N268:S268)</f>
        <v/>
      </c>
    </row>
    <row r="269">
      <c r="N269">
        <f>IF(H269="Y",(D269+C269*(E269+F269)+G269)*Escalation!$B$2,0)</f>
        <v/>
      </c>
      <c r="O269">
        <f>IF(I269="Y",(D269+C269*(E269+F269)+G269)*Escalation!$B$3,0)</f>
        <v/>
      </c>
      <c r="P269">
        <f>IF(J269="Y",(D269+C269*(E269+F269)+G269)*Escalation!$B$4,0)</f>
        <v/>
      </c>
      <c r="Q269">
        <f>IF(K269="Y",(D269+C269*(E269+F269)+G269)*Escalation!$B$5,0)</f>
        <v/>
      </c>
      <c r="R269">
        <f>IF(L269="Y",(D269+C269*(E269+F269)+G269)*Escalation!$B$6,0)</f>
        <v/>
      </c>
      <c r="S269">
        <f>IF(M269="Y",(D269+C269*(E269+F269)+G269)*Escalation!$B$7,0)</f>
        <v/>
      </c>
      <c r="T269">
        <f>SUM(N269:S269)</f>
        <v/>
      </c>
    </row>
    <row r="270">
      <c r="N270">
        <f>IF(H270="Y",(D270+C270*(E270+F270)+G270)*Escalation!$B$2,0)</f>
        <v/>
      </c>
      <c r="O270">
        <f>IF(I270="Y",(D270+C270*(E270+F270)+G270)*Escalation!$B$3,0)</f>
        <v/>
      </c>
      <c r="P270">
        <f>IF(J270="Y",(D270+C270*(E270+F270)+G270)*Escalation!$B$4,0)</f>
        <v/>
      </c>
      <c r="Q270">
        <f>IF(K270="Y",(D270+C270*(E270+F270)+G270)*Escalation!$B$5,0)</f>
        <v/>
      </c>
      <c r="R270">
        <f>IF(L270="Y",(D270+C270*(E270+F270)+G270)*Escalation!$B$6,0)</f>
        <v/>
      </c>
      <c r="S270">
        <f>IF(M270="Y",(D270+C270*(E270+F270)+G270)*Escalation!$B$7,0)</f>
        <v/>
      </c>
      <c r="T270">
        <f>SUM(N270:S270)</f>
        <v/>
      </c>
    </row>
    <row r="271">
      <c r="N271">
        <f>IF(H271="Y",(D271+C271*(E271+F271)+G271)*Escalation!$B$2,0)</f>
        <v/>
      </c>
      <c r="O271">
        <f>IF(I271="Y",(D271+C271*(E271+F271)+G271)*Escalation!$B$3,0)</f>
        <v/>
      </c>
      <c r="P271">
        <f>IF(J271="Y",(D271+C271*(E271+F271)+G271)*Escalation!$B$4,0)</f>
        <v/>
      </c>
      <c r="Q271">
        <f>IF(K271="Y",(D271+C271*(E271+F271)+G271)*Escalation!$B$5,0)</f>
        <v/>
      </c>
      <c r="R271">
        <f>IF(L271="Y",(D271+C271*(E271+F271)+G271)*Escalation!$B$6,0)</f>
        <v/>
      </c>
      <c r="S271">
        <f>IF(M271="Y",(D271+C271*(E271+F271)+G271)*Escalation!$B$7,0)</f>
        <v/>
      </c>
      <c r="T271">
        <f>SUM(N271:S271)</f>
        <v/>
      </c>
    </row>
    <row r="272">
      <c r="N272">
        <f>IF(H272="Y",(D272+C272*(E272+F272)+G272)*Escalation!$B$2,0)</f>
        <v/>
      </c>
      <c r="O272">
        <f>IF(I272="Y",(D272+C272*(E272+F272)+G272)*Escalation!$B$3,0)</f>
        <v/>
      </c>
      <c r="P272">
        <f>IF(J272="Y",(D272+C272*(E272+F272)+G272)*Escalation!$B$4,0)</f>
        <v/>
      </c>
      <c r="Q272">
        <f>IF(K272="Y",(D272+C272*(E272+F272)+G272)*Escalation!$B$5,0)</f>
        <v/>
      </c>
      <c r="R272">
        <f>IF(L272="Y",(D272+C272*(E272+F272)+G272)*Escalation!$B$6,0)</f>
        <v/>
      </c>
      <c r="S272">
        <f>IF(M272="Y",(D272+C272*(E272+F272)+G272)*Escalation!$B$7,0)</f>
        <v/>
      </c>
      <c r="T272">
        <f>SUM(N272:S272)</f>
        <v/>
      </c>
    </row>
    <row r="273">
      <c r="N273">
        <f>IF(H273="Y",(D273+C273*(E273+F273)+G273)*Escalation!$B$2,0)</f>
        <v/>
      </c>
      <c r="O273">
        <f>IF(I273="Y",(D273+C273*(E273+F273)+G273)*Escalation!$B$3,0)</f>
        <v/>
      </c>
      <c r="P273">
        <f>IF(J273="Y",(D273+C273*(E273+F273)+G273)*Escalation!$B$4,0)</f>
        <v/>
      </c>
      <c r="Q273">
        <f>IF(K273="Y",(D273+C273*(E273+F273)+G273)*Escalation!$B$5,0)</f>
        <v/>
      </c>
      <c r="R273">
        <f>IF(L273="Y",(D273+C273*(E273+F273)+G273)*Escalation!$B$6,0)</f>
        <v/>
      </c>
      <c r="S273">
        <f>IF(M273="Y",(D273+C273*(E273+F273)+G273)*Escalation!$B$7,0)</f>
        <v/>
      </c>
      <c r="T273">
        <f>SUM(N273:S273)</f>
        <v/>
      </c>
    </row>
    <row r="274">
      <c r="N274">
        <f>IF(H274="Y",(D274+C274*(E274+F274)+G274)*Escalation!$B$2,0)</f>
        <v/>
      </c>
      <c r="O274">
        <f>IF(I274="Y",(D274+C274*(E274+F274)+G274)*Escalation!$B$3,0)</f>
        <v/>
      </c>
      <c r="P274">
        <f>IF(J274="Y",(D274+C274*(E274+F274)+G274)*Escalation!$B$4,0)</f>
        <v/>
      </c>
      <c r="Q274">
        <f>IF(K274="Y",(D274+C274*(E274+F274)+G274)*Escalation!$B$5,0)</f>
        <v/>
      </c>
      <c r="R274">
        <f>IF(L274="Y",(D274+C274*(E274+F274)+G274)*Escalation!$B$6,0)</f>
        <v/>
      </c>
      <c r="S274">
        <f>IF(M274="Y",(D274+C274*(E274+F274)+G274)*Escalation!$B$7,0)</f>
        <v/>
      </c>
      <c r="T274">
        <f>SUM(N274:S274)</f>
        <v/>
      </c>
    </row>
    <row r="275">
      <c r="N275">
        <f>IF(H275="Y",(D275+C275*(E275+F275)+G275)*Escalation!$B$2,0)</f>
        <v/>
      </c>
      <c r="O275">
        <f>IF(I275="Y",(D275+C275*(E275+F275)+G275)*Escalation!$B$3,0)</f>
        <v/>
      </c>
      <c r="P275">
        <f>IF(J275="Y",(D275+C275*(E275+F275)+G275)*Escalation!$B$4,0)</f>
        <v/>
      </c>
      <c r="Q275">
        <f>IF(K275="Y",(D275+C275*(E275+F275)+G275)*Escalation!$B$5,0)</f>
        <v/>
      </c>
      <c r="R275">
        <f>IF(L275="Y",(D275+C275*(E275+F275)+G275)*Escalation!$B$6,0)</f>
        <v/>
      </c>
      <c r="S275">
        <f>IF(M275="Y",(D275+C275*(E275+F275)+G275)*Escalation!$B$7,0)</f>
        <v/>
      </c>
      <c r="T275">
        <f>SUM(N275:S275)</f>
        <v/>
      </c>
    </row>
    <row r="276">
      <c r="N276">
        <f>IF(H276="Y",(D276+C276*(E276+F276)+G276)*Escalation!$B$2,0)</f>
        <v/>
      </c>
      <c r="O276">
        <f>IF(I276="Y",(D276+C276*(E276+F276)+G276)*Escalation!$B$3,0)</f>
        <v/>
      </c>
      <c r="P276">
        <f>IF(J276="Y",(D276+C276*(E276+F276)+G276)*Escalation!$B$4,0)</f>
        <v/>
      </c>
      <c r="Q276">
        <f>IF(K276="Y",(D276+C276*(E276+F276)+G276)*Escalation!$B$5,0)</f>
        <v/>
      </c>
      <c r="R276">
        <f>IF(L276="Y",(D276+C276*(E276+F276)+G276)*Escalation!$B$6,0)</f>
        <v/>
      </c>
      <c r="S276">
        <f>IF(M276="Y",(D276+C276*(E276+F276)+G276)*Escalation!$B$7,0)</f>
        <v/>
      </c>
      <c r="T276">
        <f>SUM(N276:S276)</f>
        <v/>
      </c>
    </row>
    <row r="277">
      <c r="N277">
        <f>IF(H277="Y",(D277+C277*(E277+F277)+G277)*Escalation!$B$2,0)</f>
        <v/>
      </c>
      <c r="O277">
        <f>IF(I277="Y",(D277+C277*(E277+F277)+G277)*Escalation!$B$3,0)</f>
        <v/>
      </c>
      <c r="P277">
        <f>IF(J277="Y",(D277+C277*(E277+F277)+G277)*Escalation!$B$4,0)</f>
        <v/>
      </c>
      <c r="Q277">
        <f>IF(K277="Y",(D277+C277*(E277+F277)+G277)*Escalation!$B$5,0)</f>
        <v/>
      </c>
      <c r="R277">
        <f>IF(L277="Y",(D277+C277*(E277+F277)+G277)*Escalation!$B$6,0)</f>
        <v/>
      </c>
      <c r="S277">
        <f>IF(M277="Y",(D277+C277*(E277+F277)+G277)*Escalation!$B$7,0)</f>
        <v/>
      </c>
      <c r="T277">
        <f>SUM(N277:S277)</f>
        <v/>
      </c>
    </row>
    <row r="278">
      <c r="N278">
        <f>IF(H278="Y",(D278+C278*(E278+F278)+G278)*Escalation!$B$2,0)</f>
        <v/>
      </c>
      <c r="O278">
        <f>IF(I278="Y",(D278+C278*(E278+F278)+G278)*Escalation!$B$3,0)</f>
        <v/>
      </c>
      <c r="P278">
        <f>IF(J278="Y",(D278+C278*(E278+F278)+G278)*Escalation!$B$4,0)</f>
        <v/>
      </c>
      <c r="Q278">
        <f>IF(K278="Y",(D278+C278*(E278+F278)+G278)*Escalation!$B$5,0)</f>
        <v/>
      </c>
      <c r="R278">
        <f>IF(L278="Y",(D278+C278*(E278+F278)+G278)*Escalation!$B$6,0)</f>
        <v/>
      </c>
      <c r="S278">
        <f>IF(M278="Y",(D278+C278*(E278+F278)+G278)*Escalation!$B$7,0)</f>
        <v/>
      </c>
      <c r="T278">
        <f>SUM(N278:S278)</f>
        <v/>
      </c>
    </row>
    <row r="279">
      <c r="N279">
        <f>IF(H279="Y",(D279+C279*(E279+F279)+G279)*Escalation!$B$2,0)</f>
        <v/>
      </c>
      <c r="O279">
        <f>IF(I279="Y",(D279+C279*(E279+F279)+G279)*Escalation!$B$3,0)</f>
        <v/>
      </c>
      <c r="P279">
        <f>IF(J279="Y",(D279+C279*(E279+F279)+G279)*Escalation!$B$4,0)</f>
        <v/>
      </c>
      <c r="Q279">
        <f>IF(K279="Y",(D279+C279*(E279+F279)+G279)*Escalation!$B$5,0)</f>
        <v/>
      </c>
      <c r="R279">
        <f>IF(L279="Y",(D279+C279*(E279+F279)+G279)*Escalation!$B$6,0)</f>
        <v/>
      </c>
      <c r="S279">
        <f>IF(M279="Y",(D279+C279*(E279+F279)+G279)*Escalation!$B$7,0)</f>
        <v/>
      </c>
      <c r="T279">
        <f>SUM(N279:S279)</f>
        <v/>
      </c>
    </row>
    <row r="280">
      <c r="N280">
        <f>IF(H280="Y",(D280+C280*(E280+F280)+G280)*Escalation!$B$2,0)</f>
        <v/>
      </c>
      <c r="O280">
        <f>IF(I280="Y",(D280+C280*(E280+F280)+G280)*Escalation!$B$3,0)</f>
        <v/>
      </c>
      <c r="P280">
        <f>IF(J280="Y",(D280+C280*(E280+F280)+G280)*Escalation!$B$4,0)</f>
        <v/>
      </c>
      <c r="Q280">
        <f>IF(K280="Y",(D280+C280*(E280+F280)+G280)*Escalation!$B$5,0)</f>
        <v/>
      </c>
      <c r="R280">
        <f>IF(L280="Y",(D280+C280*(E280+F280)+G280)*Escalation!$B$6,0)</f>
        <v/>
      </c>
      <c r="S280">
        <f>IF(M280="Y",(D280+C280*(E280+F280)+G280)*Escalation!$B$7,0)</f>
        <v/>
      </c>
      <c r="T280">
        <f>SUM(N280:S280)</f>
        <v/>
      </c>
    </row>
    <row r="281">
      <c r="N281">
        <f>IF(H281="Y",(D281+C281*(E281+F281)+G281)*Escalation!$B$2,0)</f>
        <v/>
      </c>
      <c r="O281">
        <f>IF(I281="Y",(D281+C281*(E281+F281)+G281)*Escalation!$B$3,0)</f>
        <v/>
      </c>
      <c r="P281">
        <f>IF(J281="Y",(D281+C281*(E281+F281)+G281)*Escalation!$B$4,0)</f>
        <v/>
      </c>
      <c r="Q281">
        <f>IF(K281="Y",(D281+C281*(E281+F281)+G281)*Escalation!$B$5,0)</f>
        <v/>
      </c>
      <c r="R281">
        <f>IF(L281="Y",(D281+C281*(E281+F281)+G281)*Escalation!$B$6,0)</f>
        <v/>
      </c>
      <c r="S281">
        <f>IF(M281="Y",(D281+C281*(E281+F281)+G281)*Escalation!$B$7,0)</f>
        <v/>
      </c>
      <c r="T281">
        <f>SUM(N281:S281)</f>
        <v/>
      </c>
    </row>
    <row r="282">
      <c r="N282">
        <f>IF(H282="Y",(D282+C282*(E282+F282)+G282)*Escalation!$B$2,0)</f>
        <v/>
      </c>
      <c r="O282">
        <f>IF(I282="Y",(D282+C282*(E282+F282)+G282)*Escalation!$B$3,0)</f>
        <v/>
      </c>
      <c r="P282">
        <f>IF(J282="Y",(D282+C282*(E282+F282)+G282)*Escalation!$B$4,0)</f>
        <v/>
      </c>
      <c r="Q282">
        <f>IF(K282="Y",(D282+C282*(E282+F282)+G282)*Escalation!$B$5,0)</f>
        <v/>
      </c>
      <c r="R282">
        <f>IF(L282="Y",(D282+C282*(E282+F282)+G282)*Escalation!$B$6,0)</f>
        <v/>
      </c>
      <c r="S282">
        <f>IF(M282="Y",(D282+C282*(E282+F282)+G282)*Escalation!$B$7,0)</f>
        <v/>
      </c>
      <c r="T282">
        <f>SUM(N282:S282)</f>
        <v/>
      </c>
    </row>
    <row r="283">
      <c r="N283">
        <f>IF(H283="Y",(D283+C283*(E283+F283)+G283)*Escalation!$B$2,0)</f>
        <v/>
      </c>
      <c r="O283">
        <f>IF(I283="Y",(D283+C283*(E283+F283)+G283)*Escalation!$B$3,0)</f>
        <v/>
      </c>
      <c r="P283">
        <f>IF(J283="Y",(D283+C283*(E283+F283)+G283)*Escalation!$B$4,0)</f>
        <v/>
      </c>
      <c r="Q283">
        <f>IF(K283="Y",(D283+C283*(E283+F283)+G283)*Escalation!$B$5,0)</f>
        <v/>
      </c>
      <c r="R283">
        <f>IF(L283="Y",(D283+C283*(E283+F283)+G283)*Escalation!$B$6,0)</f>
        <v/>
      </c>
      <c r="S283">
        <f>IF(M283="Y",(D283+C283*(E283+F283)+G283)*Escalation!$B$7,0)</f>
        <v/>
      </c>
      <c r="T283">
        <f>SUM(N283:S283)</f>
        <v/>
      </c>
    </row>
    <row r="284">
      <c r="N284">
        <f>IF(H284="Y",(D284+C284*(E284+F284)+G284)*Escalation!$B$2,0)</f>
        <v/>
      </c>
      <c r="O284">
        <f>IF(I284="Y",(D284+C284*(E284+F284)+G284)*Escalation!$B$3,0)</f>
        <v/>
      </c>
      <c r="P284">
        <f>IF(J284="Y",(D284+C284*(E284+F284)+G284)*Escalation!$B$4,0)</f>
        <v/>
      </c>
      <c r="Q284">
        <f>IF(K284="Y",(D284+C284*(E284+F284)+G284)*Escalation!$B$5,0)</f>
        <v/>
      </c>
      <c r="R284">
        <f>IF(L284="Y",(D284+C284*(E284+F284)+G284)*Escalation!$B$6,0)</f>
        <v/>
      </c>
      <c r="S284">
        <f>IF(M284="Y",(D284+C284*(E284+F284)+G284)*Escalation!$B$7,0)</f>
        <v/>
      </c>
      <c r="T284">
        <f>SUM(N284:S284)</f>
        <v/>
      </c>
    </row>
    <row r="285">
      <c r="N285">
        <f>IF(H285="Y",(D285+C285*(E285+F285)+G285)*Escalation!$B$2,0)</f>
        <v/>
      </c>
      <c r="O285">
        <f>IF(I285="Y",(D285+C285*(E285+F285)+G285)*Escalation!$B$3,0)</f>
        <v/>
      </c>
      <c r="P285">
        <f>IF(J285="Y",(D285+C285*(E285+F285)+G285)*Escalation!$B$4,0)</f>
        <v/>
      </c>
      <c r="Q285">
        <f>IF(K285="Y",(D285+C285*(E285+F285)+G285)*Escalation!$B$5,0)</f>
        <v/>
      </c>
      <c r="R285">
        <f>IF(L285="Y",(D285+C285*(E285+F285)+G285)*Escalation!$B$6,0)</f>
        <v/>
      </c>
      <c r="S285">
        <f>IF(M285="Y",(D285+C285*(E285+F285)+G285)*Escalation!$B$7,0)</f>
        <v/>
      </c>
      <c r="T285">
        <f>SUM(N285:S285)</f>
        <v/>
      </c>
    </row>
    <row r="286">
      <c r="N286">
        <f>IF(H286="Y",(D286+C286*(E286+F286)+G286)*Escalation!$B$2,0)</f>
        <v/>
      </c>
      <c r="O286">
        <f>IF(I286="Y",(D286+C286*(E286+F286)+G286)*Escalation!$B$3,0)</f>
        <v/>
      </c>
      <c r="P286">
        <f>IF(J286="Y",(D286+C286*(E286+F286)+G286)*Escalation!$B$4,0)</f>
        <v/>
      </c>
      <c r="Q286">
        <f>IF(K286="Y",(D286+C286*(E286+F286)+G286)*Escalation!$B$5,0)</f>
        <v/>
      </c>
      <c r="R286">
        <f>IF(L286="Y",(D286+C286*(E286+F286)+G286)*Escalation!$B$6,0)</f>
        <v/>
      </c>
      <c r="S286">
        <f>IF(M286="Y",(D286+C286*(E286+F286)+G286)*Escalation!$B$7,0)</f>
        <v/>
      </c>
      <c r="T286">
        <f>SUM(N286:S286)</f>
        <v/>
      </c>
    </row>
    <row r="287">
      <c r="N287">
        <f>IF(H287="Y",(D287+C287*(E287+F287)+G287)*Escalation!$B$2,0)</f>
        <v/>
      </c>
      <c r="O287">
        <f>IF(I287="Y",(D287+C287*(E287+F287)+G287)*Escalation!$B$3,0)</f>
        <v/>
      </c>
      <c r="P287">
        <f>IF(J287="Y",(D287+C287*(E287+F287)+G287)*Escalation!$B$4,0)</f>
        <v/>
      </c>
      <c r="Q287">
        <f>IF(K287="Y",(D287+C287*(E287+F287)+G287)*Escalation!$B$5,0)</f>
        <v/>
      </c>
      <c r="R287">
        <f>IF(L287="Y",(D287+C287*(E287+F287)+G287)*Escalation!$B$6,0)</f>
        <v/>
      </c>
      <c r="S287">
        <f>IF(M287="Y",(D287+C287*(E287+F287)+G287)*Escalation!$B$7,0)</f>
        <v/>
      </c>
      <c r="T287">
        <f>SUM(N287:S287)</f>
        <v/>
      </c>
    </row>
    <row r="288">
      <c r="N288">
        <f>IF(H288="Y",(D288+C288*(E288+F288)+G288)*Escalation!$B$2,0)</f>
        <v/>
      </c>
      <c r="O288">
        <f>IF(I288="Y",(D288+C288*(E288+F288)+G288)*Escalation!$B$3,0)</f>
        <v/>
      </c>
      <c r="P288">
        <f>IF(J288="Y",(D288+C288*(E288+F288)+G288)*Escalation!$B$4,0)</f>
        <v/>
      </c>
      <c r="Q288">
        <f>IF(K288="Y",(D288+C288*(E288+F288)+G288)*Escalation!$B$5,0)</f>
        <v/>
      </c>
      <c r="R288">
        <f>IF(L288="Y",(D288+C288*(E288+F288)+G288)*Escalation!$B$6,0)</f>
        <v/>
      </c>
      <c r="S288">
        <f>IF(M288="Y",(D288+C288*(E288+F288)+G288)*Escalation!$B$7,0)</f>
        <v/>
      </c>
      <c r="T288">
        <f>SUM(N288:S288)</f>
        <v/>
      </c>
    </row>
    <row r="289">
      <c r="N289">
        <f>IF(H289="Y",(D289+C289*(E289+F289)+G289)*Escalation!$B$2,0)</f>
        <v/>
      </c>
      <c r="O289">
        <f>IF(I289="Y",(D289+C289*(E289+F289)+G289)*Escalation!$B$3,0)</f>
        <v/>
      </c>
      <c r="P289">
        <f>IF(J289="Y",(D289+C289*(E289+F289)+G289)*Escalation!$B$4,0)</f>
        <v/>
      </c>
      <c r="Q289">
        <f>IF(K289="Y",(D289+C289*(E289+F289)+G289)*Escalation!$B$5,0)</f>
        <v/>
      </c>
      <c r="R289">
        <f>IF(L289="Y",(D289+C289*(E289+F289)+G289)*Escalation!$B$6,0)</f>
        <v/>
      </c>
      <c r="S289">
        <f>IF(M289="Y",(D289+C289*(E289+F289)+G289)*Escalation!$B$7,0)</f>
        <v/>
      </c>
      <c r="T289">
        <f>SUM(N289:S289)</f>
        <v/>
      </c>
    </row>
    <row r="290">
      <c r="N290">
        <f>IF(H290="Y",(D290+C290*(E290+F290)+G290)*Escalation!$B$2,0)</f>
        <v/>
      </c>
      <c r="O290">
        <f>IF(I290="Y",(D290+C290*(E290+F290)+G290)*Escalation!$B$3,0)</f>
        <v/>
      </c>
      <c r="P290">
        <f>IF(J290="Y",(D290+C290*(E290+F290)+G290)*Escalation!$B$4,0)</f>
        <v/>
      </c>
      <c r="Q290">
        <f>IF(K290="Y",(D290+C290*(E290+F290)+G290)*Escalation!$B$5,0)</f>
        <v/>
      </c>
      <c r="R290">
        <f>IF(L290="Y",(D290+C290*(E290+F290)+G290)*Escalation!$B$6,0)</f>
        <v/>
      </c>
      <c r="S290">
        <f>IF(M290="Y",(D290+C290*(E290+F290)+G290)*Escalation!$B$7,0)</f>
        <v/>
      </c>
      <c r="T290">
        <f>SUM(N290:S290)</f>
        <v/>
      </c>
    </row>
    <row r="291">
      <c r="N291">
        <f>IF(H291="Y",(D291+C291*(E291+F291)+G291)*Escalation!$B$2,0)</f>
        <v/>
      </c>
      <c r="O291">
        <f>IF(I291="Y",(D291+C291*(E291+F291)+G291)*Escalation!$B$3,0)</f>
        <v/>
      </c>
      <c r="P291">
        <f>IF(J291="Y",(D291+C291*(E291+F291)+G291)*Escalation!$B$4,0)</f>
        <v/>
      </c>
      <c r="Q291">
        <f>IF(K291="Y",(D291+C291*(E291+F291)+G291)*Escalation!$B$5,0)</f>
        <v/>
      </c>
      <c r="R291">
        <f>IF(L291="Y",(D291+C291*(E291+F291)+G291)*Escalation!$B$6,0)</f>
        <v/>
      </c>
      <c r="S291">
        <f>IF(M291="Y",(D291+C291*(E291+F291)+G291)*Escalation!$B$7,0)</f>
        <v/>
      </c>
      <c r="T291">
        <f>SUM(N291:S291)</f>
        <v/>
      </c>
    </row>
    <row r="292">
      <c r="N292">
        <f>IF(H292="Y",(D292+C292*(E292+F292)+G292)*Escalation!$B$2,0)</f>
        <v/>
      </c>
      <c r="O292">
        <f>IF(I292="Y",(D292+C292*(E292+F292)+G292)*Escalation!$B$3,0)</f>
        <v/>
      </c>
      <c r="P292">
        <f>IF(J292="Y",(D292+C292*(E292+F292)+G292)*Escalation!$B$4,0)</f>
        <v/>
      </c>
      <c r="Q292">
        <f>IF(K292="Y",(D292+C292*(E292+F292)+G292)*Escalation!$B$5,0)</f>
        <v/>
      </c>
      <c r="R292">
        <f>IF(L292="Y",(D292+C292*(E292+F292)+G292)*Escalation!$B$6,0)</f>
        <v/>
      </c>
      <c r="S292">
        <f>IF(M292="Y",(D292+C292*(E292+F292)+G292)*Escalation!$B$7,0)</f>
        <v/>
      </c>
      <c r="T292">
        <f>SUM(N292:S292)</f>
        <v/>
      </c>
    </row>
    <row r="293">
      <c r="N293">
        <f>IF(H293="Y",(D293+C293*(E293+F293)+G293)*Escalation!$B$2,0)</f>
        <v/>
      </c>
      <c r="O293">
        <f>IF(I293="Y",(D293+C293*(E293+F293)+G293)*Escalation!$B$3,0)</f>
        <v/>
      </c>
      <c r="P293">
        <f>IF(J293="Y",(D293+C293*(E293+F293)+G293)*Escalation!$B$4,0)</f>
        <v/>
      </c>
      <c r="Q293">
        <f>IF(K293="Y",(D293+C293*(E293+F293)+G293)*Escalation!$B$5,0)</f>
        <v/>
      </c>
      <c r="R293">
        <f>IF(L293="Y",(D293+C293*(E293+F293)+G293)*Escalation!$B$6,0)</f>
        <v/>
      </c>
      <c r="S293">
        <f>IF(M293="Y",(D293+C293*(E293+F293)+G293)*Escalation!$B$7,0)</f>
        <v/>
      </c>
      <c r="T293">
        <f>SUM(N293:S293)</f>
        <v/>
      </c>
    </row>
    <row r="294">
      <c r="N294">
        <f>IF(H294="Y",(D294+C294*(E294+F294)+G294)*Escalation!$B$2,0)</f>
        <v/>
      </c>
      <c r="O294">
        <f>IF(I294="Y",(D294+C294*(E294+F294)+G294)*Escalation!$B$3,0)</f>
        <v/>
      </c>
      <c r="P294">
        <f>IF(J294="Y",(D294+C294*(E294+F294)+G294)*Escalation!$B$4,0)</f>
        <v/>
      </c>
      <c r="Q294">
        <f>IF(K294="Y",(D294+C294*(E294+F294)+G294)*Escalation!$B$5,0)</f>
        <v/>
      </c>
      <c r="R294">
        <f>IF(L294="Y",(D294+C294*(E294+F294)+G294)*Escalation!$B$6,0)</f>
        <v/>
      </c>
      <c r="S294">
        <f>IF(M294="Y",(D294+C294*(E294+F294)+G294)*Escalation!$B$7,0)</f>
        <v/>
      </c>
      <c r="T294">
        <f>SUM(N294:S294)</f>
        <v/>
      </c>
    </row>
    <row r="295">
      <c r="N295">
        <f>IF(H295="Y",(D295+C295*(E295+F295)+G295)*Escalation!$B$2,0)</f>
        <v/>
      </c>
      <c r="O295">
        <f>IF(I295="Y",(D295+C295*(E295+F295)+G295)*Escalation!$B$3,0)</f>
        <v/>
      </c>
      <c r="P295">
        <f>IF(J295="Y",(D295+C295*(E295+F295)+G295)*Escalation!$B$4,0)</f>
        <v/>
      </c>
      <c r="Q295">
        <f>IF(K295="Y",(D295+C295*(E295+F295)+G295)*Escalation!$B$5,0)</f>
        <v/>
      </c>
      <c r="R295">
        <f>IF(L295="Y",(D295+C295*(E295+F295)+G295)*Escalation!$B$6,0)</f>
        <v/>
      </c>
      <c r="S295">
        <f>IF(M295="Y",(D295+C295*(E295+F295)+G295)*Escalation!$B$7,0)</f>
        <v/>
      </c>
      <c r="T295">
        <f>SUM(N295:S295)</f>
        <v/>
      </c>
    </row>
    <row r="296">
      <c r="N296">
        <f>IF(H296="Y",(D296+C296*(E296+F296)+G296)*Escalation!$B$2,0)</f>
        <v/>
      </c>
      <c r="O296">
        <f>IF(I296="Y",(D296+C296*(E296+F296)+G296)*Escalation!$B$3,0)</f>
        <v/>
      </c>
      <c r="P296">
        <f>IF(J296="Y",(D296+C296*(E296+F296)+G296)*Escalation!$B$4,0)</f>
        <v/>
      </c>
      <c r="Q296">
        <f>IF(K296="Y",(D296+C296*(E296+F296)+G296)*Escalation!$B$5,0)</f>
        <v/>
      </c>
      <c r="R296">
        <f>IF(L296="Y",(D296+C296*(E296+F296)+G296)*Escalation!$B$6,0)</f>
        <v/>
      </c>
      <c r="S296">
        <f>IF(M296="Y",(D296+C296*(E296+F296)+G296)*Escalation!$B$7,0)</f>
        <v/>
      </c>
      <c r="T296">
        <f>SUM(N296:S296)</f>
        <v/>
      </c>
    </row>
    <row r="297">
      <c r="N297">
        <f>IF(H297="Y",(D297+C297*(E297+F297)+G297)*Escalation!$B$2,0)</f>
        <v/>
      </c>
      <c r="O297">
        <f>IF(I297="Y",(D297+C297*(E297+F297)+G297)*Escalation!$B$3,0)</f>
        <v/>
      </c>
      <c r="P297">
        <f>IF(J297="Y",(D297+C297*(E297+F297)+G297)*Escalation!$B$4,0)</f>
        <v/>
      </c>
      <c r="Q297">
        <f>IF(K297="Y",(D297+C297*(E297+F297)+G297)*Escalation!$B$5,0)</f>
        <v/>
      </c>
      <c r="R297">
        <f>IF(L297="Y",(D297+C297*(E297+F297)+G297)*Escalation!$B$6,0)</f>
        <v/>
      </c>
      <c r="S297">
        <f>IF(M297="Y",(D297+C297*(E297+F297)+G297)*Escalation!$B$7,0)</f>
        <v/>
      </c>
      <c r="T297">
        <f>SUM(N297:S297)</f>
        <v/>
      </c>
    </row>
    <row r="298">
      <c r="N298">
        <f>IF(H298="Y",(D298+C298*(E298+F298)+G298)*Escalation!$B$2,0)</f>
        <v/>
      </c>
      <c r="O298">
        <f>IF(I298="Y",(D298+C298*(E298+F298)+G298)*Escalation!$B$3,0)</f>
        <v/>
      </c>
      <c r="P298">
        <f>IF(J298="Y",(D298+C298*(E298+F298)+G298)*Escalation!$B$4,0)</f>
        <v/>
      </c>
      <c r="Q298">
        <f>IF(K298="Y",(D298+C298*(E298+F298)+G298)*Escalation!$B$5,0)</f>
        <v/>
      </c>
      <c r="R298">
        <f>IF(L298="Y",(D298+C298*(E298+F298)+G298)*Escalation!$B$6,0)</f>
        <v/>
      </c>
      <c r="S298">
        <f>IF(M298="Y",(D298+C298*(E298+F298)+G298)*Escalation!$B$7,0)</f>
        <v/>
      </c>
      <c r="T298">
        <f>SUM(N298:S298)</f>
        <v/>
      </c>
    </row>
    <row r="299">
      <c r="N299">
        <f>IF(H299="Y",(D299+C299*(E299+F299)+G299)*Escalation!$B$2,0)</f>
        <v/>
      </c>
      <c r="O299">
        <f>IF(I299="Y",(D299+C299*(E299+F299)+G299)*Escalation!$B$3,0)</f>
        <v/>
      </c>
      <c r="P299">
        <f>IF(J299="Y",(D299+C299*(E299+F299)+G299)*Escalation!$B$4,0)</f>
        <v/>
      </c>
      <c r="Q299">
        <f>IF(K299="Y",(D299+C299*(E299+F299)+G299)*Escalation!$B$5,0)</f>
        <v/>
      </c>
      <c r="R299">
        <f>IF(L299="Y",(D299+C299*(E299+F299)+G299)*Escalation!$B$6,0)</f>
        <v/>
      </c>
      <c r="S299">
        <f>IF(M299="Y",(D299+C299*(E299+F299)+G299)*Escalation!$B$7,0)</f>
        <v/>
      </c>
      <c r="T299">
        <f>SUM(N299:S299)</f>
        <v/>
      </c>
    </row>
    <row r="300">
      <c r="N300">
        <f>IF(H300="Y",(D300+C300*(E300+F300)+G300)*Escalation!$B$2,0)</f>
        <v/>
      </c>
      <c r="O300">
        <f>IF(I300="Y",(D300+C300*(E300+F300)+G300)*Escalation!$B$3,0)</f>
        <v/>
      </c>
      <c r="P300">
        <f>IF(J300="Y",(D300+C300*(E300+F300)+G300)*Escalation!$B$4,0)</f>
        <v/>
      </c>
      <c r="Q300">
        <f>IF(K300="Y",(D300+C300*(E300+F300)+G300)*Escalation!$B$5,0)</f>
        <v/>
      </c>
      <c r="R300">
        <f>IF(L300="Y",(D300+C300*(E300+F300)+G300)*Escalation!$B$6,0)</f>
        <v/>
      </c>
      <c r="S300">
        <f>IF(M300="Y",(D300+C300*(E300+F300)+G300)*Escalation!$B$7,0)</f>
        <v/>
      </c>
      <c r="T300">
        <f>SUM(N300:S300)</f>
        <v/>
      </c>
    </row>
    <row r="301">
      <c r="N301">
        <f>IF(H301="Y",(D301+C301*(E301+F301)+G301)*Escalation!$B$2,0)</f>
        <v/>
      </c>
      <c r="O301">
        <f>IF(I301="Y",(D301+C301*(E301+F301)+G301)*Escalation!$B$3,0)</f>
        <v/>
      </c>
      <c r="P301">
        <f>IF(J301="Y",(D301+C301*(E301+F301)+G301)*Escalation!$B$4,0)</f>
        <v/>
      </c>
      <c r="Q301">
        <f>IF(K301="Y",(D301+C301*(E301+F301)+G301)*Escalation!$B$5,0)</f>
        <v/>
      </c>
      <c r="R301">
        <f>IF(L301="Y",(D301+C301*(E301+F301)+G301)*Escalation!$B$6,0)</f>
        <v/>
      </c>
      <c r="S301">
        <f>IF(M301="Y",(D301+C301*(E301+F301)+G301)*Escalation!$B$7,0)</f>
        <v/>
      </c>
      <c r="T301">
        <f>SUM(N301:S301)</f>
        <v/>
      </c>
    </row>
    <row r="302">
      <c r="N302">
        <f>IF(H302="Y",(D302+C302*(E302+F302)+G302)*Escalation!$B$2,0)</f>
        <v/>
      </c>
      <c r="O302">
        <f>IF(I302="Y",(D302+C302*(E302+F302)+G302)*Escalation!$B$3,0)</f>
        <v/>
      </c>
      <c r="P302">
        <f>IF(J302="Y",(D302+C302*(E302+F302)+G302)*Escalation!$B$4,0)</f>
        <v/>
      </c>
      <c r="Q302">
        <f>IF(K302="Y",(D302+C302*(E302+F302)+G302)*Escalation!$B$5,0)</f>
        <v/>
      </c>
      <c r="R302">
        <f>IF(L302="Y",(D302+C302*(E302+F302)+G302)*Escalation!$B$6,0)</f>
        <v/>
      </c>
      <c r="S302">
        <f>IF(M302="Y",(D302+C302*(E302+F302)+G302)*Escalation!$B$7,0)</f>
        <v/>
      </c>
      <c r="T302">
        <f>SUM(N302:S302)</f>
        <v/>
      </c>
    </row>
    <row r="303">
      <c r="N303">
        <f>IF(H303="Y",(D303+C303*(E303+F303)+G303)*Escalation!$B$2,0)</f>
        <v/>
      </c>
      <c r="O303">
        <f>IF(I303="Y",(D303+C303*(E303+F303)+G303)*Escalation!$B$3,0)</f>
        <v/>
      </c>
      <c r="P303">
        <f>IF(J303="Y",(D303+C303*(E303+F303)+G303)*Escalation!$B$4,0)</f>
        <v/>
      </c>
      <c r="Q303">
        <f>IF(K303="Y",(D303+C303*(E303+F303)+G303)*Escalation!$B$5,0)</f>
        <v/>
      </c>
      <c r="R303">
        <f>IF(L303="Y",(D303+C303*(E303+F303)+G303)*Escalation!$B$6,0)</f>
        <v/>
      </c>
      <c r="S303">
        <f>IF(M303="Y",(D303+C303*(E303+F303)+G303)*Escalation!$B$7,0)</f>
        <v/>
      </c>
      <c r="T303">
        <f>SUM(N303:S303)</f>
        <v/>
      </c>
    </row>
    <row r="304">
      <c r="N304">
        <f>IF(H304="Y",(D304+C304*(E304+F304)+G304)*Escalation!$B$2,0)</f>
        <v/>
      </c>
      <c r="O304">
        <f>IF(I304="Y",(D304+C304*(E304+F304)+G304)*Escalation!$B$3,0)</f>
        <v/>
      </c>
      <c r="P304">
        <f>IF(J304="Y",(D304+C304*(E304+F304)+G304)*Escalation!$B$4,0)</f>
        <v/>
      </c>
      <c r="Q304">
        <f>IF(K304="Y",(D304+C304*(E304+F304)+G304)*Escalation!$B$5,0)</f>
        <v/>
      </c>
      <c r="R304">
        <f>IF(L304="Y",(D304+C304*(E304+F304)+G304)*Escalation!$B$6,0)</f>
        <v/>
      </c>
      <c r="S304">
        <f>IF(M304="Y",(D304+C304*(E304+F304)+G304)*Escalation!$B$7,0)</f>
        <v/>
      </c>
      <c r="T304">
        <f>SUM(N304:S304)</f>
        <v/>
      </c>
    </row>
    <row r="305">
      <c r="N305">
        <f>IF(H305="Y",(D305+C305*(E305+F305)+G305)*Escalation!$B$2,0)</f>
        <v/>
      </c>
      <c r="O305">
        <f>IF(I305="Y",(D305+C305*(E305+F305)+G305)*Escalation!$B$3,0)</f>
        <v/>
      </c>
      <c r="P305">
        <f>IF(J305="Y",(D305+C305*(E305+F305)+G305)*Escalation!$B$4,0)</f>
        <v/>
      </c>
      <c r="Q305">
        <f>IF(K305="Y",(D305+C305*(E305+F305)+G305)*Escalation!$B$5,0)</f>
        <v/>
      </c>
      <c r="R305">
        <f>IF(L305="Y",(D305+C305*(E305+F305)+G305)*Escalation!$B$6,0)</f>
        <v/>
      </c>
      <c r="S305">
        <f>IF(M305="Y",(D305+C305*(E305+F305)+G305)*Escalation!$B$7,0)</f>
        <v/>
      </c>
      <c r="T305">
        <f>SUM(N305:S305)</f>
        <v/>
      </c>
    </row>
    <row r="306">
      <c r="N306">
        <f>IF(H306="Y",(D306+C306*(E306+F306)+G306)*Escalation!$B$2,0)</f>
        <v/>
      </c>
      <c r="O306">
        <f>IF(I306="Y",(D306+C306*(E306+F306)+G306)*Escalation!$B$3,0)</f>
        <v/>
      </c>
      <c r="P306">
        <f>IF(J306="Y",(D306+C306*(E306+F306)+G306)*Escalation!$B$4,0)</f>
        <v/>
      </c>
      <c r="Q306">
        <f>IF(K306="Y",(D306+C306*(E306+F306)+G306)*Escalation!$B$5,0)</f>
        <v/>
      </c>
      <c r="R306">
        <f>IF(L306="Y",(D306+C306*(E306+F306)+G306)*Escalation!$B$6,0)</f>
        <v/>
      </c>
      <c r="S306">
        <f>IF(M306="Y",(D306+C306*(E306+F306)+G306)*Escalation!$B$7,0)</f>
        <v/>
      </c>
      <c r="T306">
        <f>SUM(N306:S306)</f>
        <v/>
      </c>
    </row>
    <row r="307">
      <c r="N307">
        <f>IF(H307="Y",(D307+C307*(E307+F307)+G307)*Escalation!$B$2,0)</f>
        <v/>
      </c>
      <c r="O307">
        <f>IF(I307="Y",(D307+C307*(E307+F307)+G307)*Escalation!$B$3,0)</f>
        <v/>
      </c>
      <c r="P307">
        <f>IF(J307="Y",(D307+C307*(E307+F307)+G307)*Escalation!$B$4,0)</f>
        <v/>
      </c>
      <c r="Q307">
        <f>IF(K307="Y",(D307+C307*(E307+F307)+G307)*Escalation!$B$5,0)</f>
        <v/>
      </c>
      <c r="R307">
        <f>IF(L307="Y",(D307+C307*(E307+F307)+G307)*Escalation!$B$6,0)</f>
        <v/>
      </c>
      <c r="S307">
        <f>IF(M307="Y",(D307+C307*(E307+F307)+G307)*Escalation!$B$7,0)</f>
        <v/>
      </c>
      <c r="T307">
        <f>SUM(N307:S307)</f>
        <v/>
      </c>
    </row>
    <row r="308">
      <c r="N308">
        <f>IF(H308="Y",(D308+C308*(E308+F308)+G308)*Escalation!$B$2,0)</f>
        <v/>
      </c>
      <c r="O308">
        <f>IF(I308="Y",(D308+C308*(E308+F308)+G308)*Escalation!$B$3,0)</f>
        <v/>
      </c>
      <c r="P308">
        <f>IF(J308="Y",(D308+C308*(E308+F308)+G308)*Escalation!$B$4,0)</f>
        <v/>
      </c>
      <c r="Q308">
        <f>IF(K308="Y",(D308+C308*(E308+F308)+G308)*Escalation!$B$5,0)</f>
        <v/>
      </c>
      <c r="R308">
        <f>IF(L308="Y",(D308+C308*(E308+F308)+G308)*Escalation!$B$6,0)</f>
        <v/>
      </c>
      <c r="S308">
        <f>IF(M308="Y",(D308+C308*(E308+F308)+G308)*Escalation!$B$7,0)</f>
        <v/>
      </c>
      <c r="T308">
        <f>SUM(N308:S308)</f>
        <v/>
      </c>
    </row>
    <row r="309">
      <c r="N309">
        <f>IF(H309="Y",(D309+C309*(E309+F309)+G309)*Escalation!$B$2,0)</f>
        <v/>
      </c>
      <c r="O309">
        <f>IF(I309="Y",(D309+C309*(E309+F309)+G309)*Escalation!$B$3,0)</f>
        <v/>
      </c>
      <c r="P309">
        <f>IF(J309="Y",(D309+C309*(E309+F309)+G309)*Escalation!$B$4,0)</f>
        <v/>
      </c>
      <c r="Q309">
        <f>IF(K309="Y",(D309+C309*(E309+F309)+G309)*Escalation!$B$5,0)</f>
        <v/>
      </c>
      <c r="R309">
        <f>IF(L309="Y",(D309+C309*(E309+F309)+G309)*Escalation!$B$6,0)</f>
        <v/>
      </c>
      <c r="S309">
        <f>IF(M309="Y",(D309+C309*(E309+F309)+G309)*Escalation!$B$7,0)</f>
        <v/>
      </c>
      <c r="T309">
        <f>SUM(N309:S309)</f>
        <v/>
      </c>
    </row>
    <row r="310">
      <c r="N310">
        <f>IF(H310="Y",(D310+C310*(E310+F310)+G310)*Escalation!$B$2,0)</f>
        <v/>
      </c>
      <c r="O310">
        <f>IF(I310="Y",(D310+C310*(E310+F310)+G310)*Escalation!$B$3,0)</f>
        <v/>
      </c>
      <c r="P310">
        <f>IF(J310="Y",(D310+C310*(E310+F310)+G310)*Escalation!$B$4,0)</f>
        <v/>
      </c>
      <c r="Q310">
        <f>IF(K310="Y",(D310+C310*(E310+F310)+G310)*Escalation!$B$5,0)</f>
        <v/>
      </c>
      <c r="R310">
        <f>IF(L310="Y",(D310+C310*(E310+F310)+G310)*Escalation!$B$6,0)</f>
        <v/>
      </c>
      <c r="S310">
        <f>IF(M310="Y",(D310+C310*(E310+F310)+G310)*Escalation!$B$7,0)</f>
        <v/>
      </c>
      <c r="T310">
        <f>SUM(N310:S310)</f>
        <v/>
      </c>
    </row>
    <row r="311">
      <c r="N311">
        <f>IF(H311="Y",(D311+C311*(E311+F311)+G311)*Escalation!$B$2,0)</f>
        <v/>
      </c>
      <c r="O311">
        <f>IF(I311="Y",(D311+C311*(E311+F311)+G311)*Escalation!$B$3,0)</f>
        <v/>
      </c>
      <c r="P311">
        <f>IF(J311="Y",(D311+C311*(E311+F311)+G311)*Escalation!$B$4,0)</f>
        <v/>
      </c>
      <c r="Q311">
        <f>IF(K311="Y",(D311+C311*(E311+F311)+G311)*Escalation!$B$5,0)</f>
        <v/>
      </c>
      <c r="R311">
        <f>IF(L311="Y",(D311+C311*(E311+F311)+G311)*Escalation!$B$6,0)</f>
        <v/>
      </c>
      <c r="S311">
        <f>IF(M311="Y",(D311+C311*(E311+F311)+G311)*Escalation!$B$7,0)</f>
        <v/>
      </c>
      <c r="T311">
        <f>SUM(N311:S311)</f>
        <v/>
      </c>
    </row>
    <row r="312">
      <c r="N312">
        <f>IF(H312="Y",(D312+C312*(E312+F312)+G312)*Escalation!$B$2,0)</f>
        <v/>
      </c>
      <c r="O312">
        <f>IF(I312="Y",(D312+C312*(E312+F312)+G312)*Escalation!$B$3,0)</f>
        <v/>
      </c>
      <c r="P312">
        <f>IF(J312="Y",(D312+C312*(E312+F312)+G312)*Escalation!$B$4,0)</f>
        <v/>
      </c>
      <c r="Q312">
        <f>IF(K312="Y",(D312+C312*(E312+F312)+G312)*Escalation!$B$5,0)</f>
        <v/>
      </c>
      <c r="R312">
        <f>IF(L312="Y",(D312+C312*(E312+F312)+G312)*Escalation!$B$6,0)</f>
        <v/>
      </c>
      <c r="S312">
        <f>IF(M312="Y",(D312+C312*(E312+F312)+G312)*Escalation!$B$7,0)</f>
        <v/>
      </c>
      <c r="T312">
        <f>SUM(N312:S312)</f>
        <v/>
      </c>
    </row>
    <row r="313">
      <c r="N313">
        <f>IF(H313="Y",(D313+C313*(E313+F313)+G313)*Escalation!$B$2,0)</f>
        <v/>
      </c>
      <c r="O313">
        <f>IF(I313="Y",(D313+C313*(E313+F313)+G313)*Escalation!$B$3,0)</f>
        <v/>
      </c>
      <c r="P313">
        <f>IF(J313="Y",(D313+C313*(E313+F313)+G313)*Escalation!$B$4,0)</f>
        <v/>
      </c>
      <c r="Q313">
        <f>IF(K313="Y",(D313+C313*(E313+F313)+G313)*Escalation!$B$5,0)</f>
        <v/>
      </c>
      <c r="R313">
        <f>IF(L313="Y",(D313+C313*(E313+F313)+G313)*Escalation!$B$6,0)</f>
        <v/>
      </c>
      <c r="S313">
        <f>IF(M313="Y",(D313+C313*(E313+F313)+G313)*Escalation!$B$7,0)</f>
        <v/>
      </c>
      <c r="T313">
        <f>SUM(N313:S313)</f>
        <v/>
      </c>
    </row>
    <row r="314">
      <c r="N314">
        <f>IF(H314="Y",(D314+C314*(E314+F314)+G314)*Escalation!$B$2,0)</f>
        <v/>
      </c>
      <c r="O314">
        <f>IF(I314="Y",(D314+C314*(E314+F314)+G314)*Escalation!$B$3,0)</f>
        <v/>
      </c>
      <c r="P314">
        <f>IF(J314="Y",(D314+C314*(E314+F314)+G314)*Escalation!$B$4,0)</f>
        <v/>
      </c>
      <c r="Q314">
        <f>IF(K314="Y",(D314+C314*(E314+F314)+G314)*Escalation!$B$5,0)</f>
        <v/>
      </c>
      <c r="R314">
        <f>IF(L314="Y",(D314+C314*(E314+F314)+G314)*Escalation!$B$6,0)</f>
        <v/>
      </c>
      <c r="S314">
        <f>IF(M314="Y",(D314+C314*(E314+F314)+G314)*Escalation!$B$7,0)</f>
        <v/>
      </c>
      <c r="T314">
        <f>SUM(N314:S314)</f>
        <v/>
      </c>
    </row>
    <row r="315">
      <c r="N315">
        <f>IF(H315="Y",(D315+C315*(E315+F315)+G315)*Escalation!$B$2,0)</f>
        <v/>
      </c>
      <c r="O315">
        <f>IF(I315="Y",(D315+C315*(E315+F315)+G315)*Escalation!$B$3,0)</f>
        <v/>
      </c>
      <c r="P315">
        <f>IF(J315="Y",(D315+C315*(E315+F315)+G315)*Escalation!$B$4,0)</f>
        <v/>
      </c>
      <c r="Q315">
        <f>IF(K315="Y",(D315+C315*(E315+F315)+G315)*Escalation!$B$5,0)</f>
        <v/>
      </c>
      <c r="R315">
        <f>IF(L315="Y",(D315+C315*(E315+F315)+G315)*Escalation!$B$6,0)</f>
        <v/>
      </c>
      <c r="S315">
        <f>IF(M315="Y",(D315+C315*(E315+F315)+G315)*Escalation!$B$7,0)</f>
        <v/>
      </c>
      <c r="T315">
        <f>SUM(N315:S315)</f>
        <v/>
      </c>
    </row>
    <row r="316">
      <c r="N316">
        <f>IF(H316="Y",(D316+C316*(E316+F316)+G316)*Escalation!$B$2,0)</f>
        <v/>
      </c>
      <c r="O316">
        <f>IF(I316="Y",(D316+C316*(E316+F316)+G316)*Escalation!$B$3,0)</f>
        <v/>
      </c>
      <c r="P316">
        <f>IF(J316="Y",(D316+C316*(E316+F316)+G316)*Escalation!$B$4,0)</f>
        <v/>
      </c>
      <c r="Q316">
        <f>IF(K316="Y",(D316+C316*(E316+F316)+G316)*Escalation!$B$5,0)</f>
        <v/>
      </c>
      <c r="R316">
        <f>IF(L316="Y",(D316+C316*(E316+F316)+G316)*Escalation!$B$6,0)</f>
        <v/>
      </c>
      <c r="S316">
        <f>IF(M316="Y",(D316+C316*(E316+F316)+G316)*Escalation!$B$7,0)</f>
        <v/>
      </c>
      <c r="T316">
        <f>SUM(N316:S316)</f>
        <v/>
      </c>
    </row>
    <row r="317">
      <c r="N317">
        <f>IF(H317="Y",(D317+C317*(E317+F317)+G317)*Escalation!$B$2,0)</f>
        <v/>
      </c>
      <c r="O317">
        <f>IF(I317="Y",(D317+C317*(E317+F317)+G317)*Escalation!$B$3,0)</f>
        <v/>
      </c>
      <c r="P317">
        <f>IF(J317="Y",(D317+C317*(E317+F317)+G317)*Escalation!$B$4,0)</f>
        <v/>
      </c>
      <c r="Q317">
        <f>IF(K317="Y",(D317+C317*(E317+F317)+G317)*Escalation!$B$5,0)</f>
        <v/>
      </c>
      <c r="R317">
        <f>IF(L317="Y",(D317+C317*(E317+F317)+G317)*Escalation!$B$6,0)</f>
        <v/>
      </c>
      <c r="S317">
        <f>IF(M317="Y",(D317+C317*(E317+F317)+G317)*Escalation!$B$7,0)</f>
        <v/>
      </c>
      <c r="T317">
        <f>SUM(N317:S317)</f>
        <v/>
      </c>
    </row>
    <row r="318">
      <c r="N318">
        <f>IF(H318="Y",(D318+C318*(E318+F318)+G318)*Escalation!$B$2,0)</f>
        <v/>
      </c>
      <c r="O318">
        <f>IF(I318="Y",(D318+C318*(E318+F318)+G318)*Escalation!$B$3,0)</f>
        <v/>
      </c>
      <c r="P318">
        <f>IF(J318="Y",(D318+C318*(E318+F318)+G318)*Escalation!$B$4,0)</f>
        <v/>
      </c>
      <c r="Q318">
        <f>IF(K318="Y",(D318+C318*(E318+F318)+G318)*Escalation!$B$5,0)</f>
        <v/>
      </c>
      <c r="R318">
        <f>IF(L318="Y",(D318+C318*(E318+F318)+G318)*Escalation!$B$6,0)</f>
        <v/>
      </c>
      <c r="S318">
        <f>IF(M318="Y",(D318+C318*(E318+F318)+G318)*Escalation!$B$7,0)</f>
        <v/>
      </c>
      <c r="T318">
        <f>SUM(N318:S318)</f>
        <v/>
      </c>
    </row>
    <row r="319">
      <c r="N319">
        <f>IF(H319="Y",(D319+C319*(E319+F319)+G319)*Escalation!$B$2,0)</f>
        <v/>
      </c>
      <c r="O319">
        <f>IF(I319="Y",(D319+C319*(E319+F319)+G319)*Escalation!$B$3,0)</f>
        <v/>
      </c>
      <c r="P319">
        <f>IF(J319="Y",(D319+C319*(E319+F319)+G319)*Escalation!$B$4,0)</f>
        <v/>
      </c>
      <c r="Q319">
        <f>IF(K319="Y",(D319+C319*(E319+F319)+G319)*Escalation!$B$5,0)</f>
        <v/>
      </c>
      <c r="R319">
        <f>IF(L319="Y",(D319+C319*(E319+F319)+G319)*Escalation!$B$6,0)</f>
        <v/>
      </c>
      <c r="S319">
        <f>IF(M319="Y",(D319+C319*(E319+F319)+G319)*Escalation!$B$7,0)</f>
        <v/>
      </c>
      <c r="T319">
        <f>SUM(N319:S319)</f>
        <v/>
      </c>
    </row>
    <row r="320">
      <c r="N320">
        <f>IF(H320="Y",(D320+C320*(E320+F320)+G320)*Escalation!$B$2,0)</f>
        <v/>
      </c>
      <c r="O320">
        <f>IF(I320="Y",(D320+C320*(E320+F320)+G320)*Escalation!$B$3,0)</f>
        <v/>
      </c>
      <c r="P320">
        <f>IF(J320="Y",(D320+C320*(E320+F320)+G320)*Escalation!$B$4,0)</f>
        <v/>
      </c>
      <c r="Q320">
        <f>IF(K320="Y",(D320+C320*(E320+F320)+G320)*Escalation!$B$5,0)</f>
        <v/>
      </c>
      <c r="R320">
        <f>IF(L320="Y",(D320+C320*(E320+F320)+G320)*Escalation!$B$6,0)</f>
        <v/>
      </c>
      <c r="S320">
        <f>IF(M320="Y",(D320+C320*(E320+F320)+G320)*Escalation!$B$7,0)</f>
        <v/>
      </c>
      <c r="T320">
        <f>SUM(N320:S320)</f>
        <v/>
      </c>
    </row>
    <row r="321">
      <c r="N321">
        <f>IF(H321="Y",(D321+C321*(E321+F321)+G321)*Escalation!$B$2,0)</f>
        <v/>
      </c>
      <c r="O321">
        <f>IF(I321="Y",(D321+C321*(E321+F321)+G321)*Escalation!$B$3,0)</f>
        <v/>
      </c>
      <c r="P321">
        <f>IF(J321="Y",(D321+C321*(E321+F321)+G321)*Escalation!$B$4,0)</f>
        <v/>
      </c>
      <c r="Q321">
        <f>IF(K321="Y",(D321+C321*(E321+F321)+G321)*Escalation!$B$5,0)</f>
        <v/>
      </c>
      <c r="R321">
        <f>IF(L321="Y",(D321+C321*(E321+F321)+G321)*Escalation!$B$6,0)</f>
        <v/>
      </c>
      <c r="S321">
        <f>IF(M321="Y",(D321+C321*(E321+F321)+G321)*Escalation!$B$7,0)</f>
        <v/>
      </c>
      <c r="T321">
        <f>SUM(N321:S321)</f>
        <v/>
      </c>
    </row>
    <row r="322">
      <c r="N322">
        <f>IF(H322="Y",(D322+C322*(E322+F322)+G322)*Escalation!$B$2,0)</f>
        <v/>
      </c>
      <c r="O322">
        <f>IF(I322="Y",(D322+C322*(E322+F322)+G322)*Escalation!$B$3,0)</f>
        <v/>
      </c>
      <c r="P322">
        <f>IF(J322="Y",(D322+C322*(E322+F322)+G322)*Escalation!$B$4,0)</f>
        <v/>
      </c>
      <c r="Q322">
        <f>IF(K322="Y",(D322+C322*(E322+F322)+G322)*Escalation!$B$5,0)</f>
        <v/>
      </c>
      <c r="R322">
        <f>IF(L322="Y",(D322+C322*(E322+F322)+G322)*Escalation!$B$6,0)</f>
        <v/>
      </c>
      <c r="S322">
        <f>IF(M322="Y",(D322+C322*(E322+F322)+G322)*Escalation!$B$7,0)</f>
        <v/>
      </c>
      <c r="T322">
        <f>SUM(N322:S322)</f>
        <v/>
      </c>
    </row>
    <row r="323">
      <c r="N323">
        <f>IF(H323="Y",(D323+C323*(E323+F323)+G323)*Escalation!$B$2,0)</f>
        <v/>
      </c>
      <c r="O323">
        <f>IF(I323="Y",(D323+C323*(E323+F323)+G323)*Escalation!$B$3,0)</f>
        <v/>
      </c>
      <c r="P323">
        <f>IF(J323="Y",(D323+C323*(E323+F323)+G323)*Escalation!$B$4,0)</f>
        <v/>
      </c>
      <c r="Q323">
        <f>IF(K323="Y",(D323+C323*(E323+F323)+G323)*Escalation!$B$5,0)</f>
        <v/>
      </c>
      <c r="R323">
        <f>IF(L323="Y",(D323+C323*(E323+F323)+G323)*Escalation!$B$6,0)</f>
        <v/>
      </c>
      <c r="S323">
        <f>IF(M323="Y",(D323+C323*(E323+F323)+G323)*Escalation!$B$7,0)</f>
        <v/>
      </c>
      <c r="T323">
        <f>SUM(N323:S323)</f>
        <v/>
      </c>
    </row>
    <row r="324">
      <c r="N324">
        <f>IF(H324="Y",(D324+C324*(E324+F324)+G324)*Escalation!$B$2,0)</f>
        <v/>
      </c>
      <c r="O324">
        <f>IF(I324="Y",(D324+C324*(E324+F324)+G324)*Escalation!$B$3,0)</f>
        <v/>
      </c>
      <c r="P324">
        <f>IF(J324="Y",(D324+C324*(E324+F324)+G324)*Escalation!$B$4,0)</f>
        <v/>
      </c>
      <c r="Q324">
        <f>IF(K324="Y",(D324+C324*(E324+F324)+G324)*Escalation!$B$5,0)</f>
        <v/>
      </c>
      <c r="R324">
        <f>IF(L324="Y",(D324+C324*(E324+F324)+G324)*Escalation!$B$6,0)</f>
        <v/>
      </c>
      <c r="S324">
        <f>IF(M324="Y",(D324+C324*(E324+F324)+G324)*Escalation!$B$7,0)</f>
        <v/>
      </c>
      <c r="T324">
        <f>SUM(N324:S324)</f>
        <v/>
      </c>
    </row>
    <row r="325">
      <c r="N325">
        <f>IF(H325="Y",(D325+C325*(E325+F325)+G325)*Escalation!$B$2,0)</f>
        <v/>
      </c>
      <c r="O325">
        <f>IF(I325="Y",(D325+C325*(E325+F325)+G325)*Escalation!$B$3,0)</f>
        <v/>
      </c>
      <c r="P325">
        <f>IF(J325="Y",(D325+C325*(E325+F325)+G325)*Escalation!$B$4,0)</f>
        <v/>
      </c>
      <c r="Q325">
        <f>IF(K325="Y",(D325+C325*(E325+F325)+G325)*Escalation!$B$5,0)</f>
        <v/>
      </c>
      <c r="R325">
        <f>IF(L325="Y",(D325+C325*(E325+F325)+G325)*Escalation!$B$6,0)</f>
        <v/>
      </c>
      <c r="S325">
        <f>IF(M325="Y",(D325+C325*(E325+F325)+G325)*Escalation!$B$7,0)</f>
        <v/>
      </c>
      <c r="T325">
        <f>SUM(N325:S325)</f>
        <v/>
      </c>
    </row>
    <row r="326">
      <c r="N326">
        <f>IF(H326="Y",(D326+C326*(E326+F326)+G326)*Escalation!$B$2,0)</f>
        <v/>
      </c>
      <c r="O326">
        <f>IF(I326="Y",(D326+C326*(E326+F326)+G326)*Escalation!$B$3,0)</f>
        <v/>
      </c>
      <c r="P326">
        <f>IF(J326="Y",(D326+C326*(E326+F326)+G326)*Escalation!$B$4,0)</f>
        <v/>
      </c>
      <c r="Q326">
        <f>IF(K326="Y",(D326+C326*(E326+F326)+G326)*Escalation!$B$5,0)</f>
        <v/>
      </c>
      <c r="R326">
        <f>IF(L326="Y",(D326+C326*(E326+F326)+G326)*Escalation!$B$6,0)</f>
        <v/>
      </c>
      <c r="S326">
        <f>IF(M326="Y",(D326+C326*(E326+F326)+G326)*Escalation!$B$7,0)</f>
        <v/>
      </c>
      <c r="T326">
        <f>SUM(N326:S326)</f>
        <v/>
      </c>
    </row>
    <row r="327">
      <c r="N327">
        <f>IF(H327="Y",(D327+C327*(E327+F327)+G327)*Escalation!$B$2,0)</f>
        <v/>
      </c>
      <c r="O327">
        <f>IF(I327="Y",(D327+C327*(E327+F327)+G327)*Escalation!$B$3,0)</f>
        <v/>
      </c>
      <c r="P327">
        <f>IF(J327="Y",(D327+C327*(E327+F327)+G327)*Escalation!$B$4,0)</f>
        <v/>
      </c>
      <c r="Q327">
        <f>IF(K327="Y",(D327+C327*(E327+F327)+G327)*Escalation!$B$5,0)</f>
        <v/>
      </c>
      <c r="R327">
        <f>IF(L327="Y",(D327+C327*(E327+F327)+G327)*Escalation!$B$6,0)</f>
        <v/>
      </c>
      <c r="S327">
        <f>IF(M327="Y",(D327+C327*(E327+F327)+G327)*Escalation!$B$7,0)</f>
        <v/>
      </c>
      <c r="T327">
        <f>SUM(N327:S327)</f>
        <v/>
      </c>
    </row>
    <row r="328">
      <c r="N328">
        <f>IF(H328="Y",(D328+C328*(E328+F328)+G328)*Escalation!$B$2,0)</f>
        <v/>
      </c>
      <c r="O328">
        <f>IF(I328="Y",(D328+C328*(E328+F328)+G328)*Escalation!$B$3,0)</f>
        <v/>
      </c>
      <c r="P328">
        <f>IF(J328="Y",(D328+C328*(E328+F328)+G328)*Escalation!$B$4,0)</f>
        <v/>
      </c>
      <c r="Q328">
        <f>IF(K328="Y",(D328+C328*(E328+F328)+G328)*Escalation!$B$5,0)</f>
        <v/>
      </c>
      <c r="R328">
        <f>IF(L328="Y",(D328+C328*(E328+F328)+G328)*Escalation!$B$6,0)</f>
        <v/>
      </c>
      <c r="S328">
        <f>IF(M328="Y",(D328+C328*(E328+F328)+G328)*Escalation!$B$7,0)</f>
        <v/>
      </c>
      <c r="T328">
        <f>SUM(N328:S328)</f>
        <v/>
      </c>
    </row>
    <row r="329">
      <c r="N329">
        <f>IF(H329="Y",(D329+C329*(E329+F329)+G329)*Escalation!$B$2,0)</f>
        <v/>
      </c>
      <c r="O329">
        <f>IF(I329="Y",(D329+C329*(E329+F329)+G329)*Escalation!$B$3,0)</f>
        <v/>
      </c>
      <c r="P329">
        <f>IF(J329="Y",(D329+C329*(E329+F329)+G329)*Escalation!$B$4,0)</f>
        <v/>
      </c>
      <c r="Q329">
        <f>IF(K329="Y",(D329+C329*(E329+F329)+G329)*Escalation!$B$5,0)</f>
        <v/>
      </c>
      <c r="R329">
        <f>IF(L329="Y",(D329+C329*(E329+F329)+G329)*Escalation!$B$6,0)</f>
        <v/>
      </c>
      <c r="S329">
        <f>IF(M329="Y",(D329+C329*(E329+F329)+G329)*Escalation!$B$7,0)</f>
        <v/>
      </c>
      <c r="T329">
        <f>SUM(N329:S329)</f>
        <v/>
      </c>
    </row>
    <row r="330">
      <c r="N330">
        <f>IF(H330="Y",(D330+C330*(E330+F330)+G330)*Escalation!$B$2,0)</f>
        <v/>
      </c>
      <c r="O330">
        <f>IF(I330="Y",(D330+C330*(E330+F330)+G330)*Escalation!$B$3,0)</f>
        <v/>
      </c>
      <c r="P330">
        <f>IF(J330="Y",(D330+C330*(E330+F330)+G330)*Escalation!$B$4,0)</f>
        <v/>
      </c>
      <c r="Q330">
        <f>IF(K330="Y",(D330+C330*(E330+F330)+G330)*Escalation!$B$5,0)</f>
        <v/>
      </c>
      <c r="R330">
        <f>IF(L330="Y",(D330+C330*(E330+F330)+G330)*Escalation!$B$6,0)</f>
        <v/>
      </c>
      <c r="S330">
        <f>IF(M330="Y",(D330+C330*(E330+F330)+G330)*Escalation!$B$7,0)</f>
        <v/>
      </c>
      <c r="T330">
        <f>SUM(N330:S330)</f>
        <v/>
      </c>
    </row>
    <row r="331">
      <c r="N331">
        <f>IF(H331="Y",(D331+C331*(E331+F331)+G331)*Escalation!$B$2,0)</f>
        <v/>
      </c>
      <c r="O331">
        <f>IF(I331="Y",(D331+C331*(E331+F331)+G331)*Escalation!$B$3,0)</f>
        <v/>
      </c>
      <c r="P331">
        <f>IF(J331="Y",(D331+C331*(E331+F331)+G331)*Escalation!$B$4,0)</f>
        <v/>
      </c>
      <c r="Q331">
        <f>IF(K331="Y",(D331+C331*(E331+F331)+G331)*Escalation!$B$5,0)</f>
        <v/>
      </c>
      <c r="R331">
        <f>IF(L331="Y",(D331+C331*(E331+F331)+G331)*Escalation!$B$6,0)</f>
        <v/>
      </c>
      <c r="S331">
        <f>IF(M331="Y",(D331+C331*(E331+F331)+G331)*Escalation!$B$7,0)</f>
        <v/>
      </c>
      <c r="T331">
        <f>SUM(N331:S331)</f>
        <v/>
      </c>
    </row>
    <row r="332">
      <c r="N332">
        <f>IF(H332="Y",(D332+C332*(E332+F332)+G332)*Escalation!$B$2,0)</f>
        <v/>
      </c>
      <c r="O332">
        <f>IF(I332="Y",(D332+C332*(E332+F332)+G332)*Escalation!$B$3,0)</f>
        <v/>
      </c>
      <c r="P332">
        <f>IF(J332="Y",(D332+C332*(E332+F332)+G332)*Escalation!$B$4,0)</f>
        <v/>
      </c>
      <c r="Q332">
        <f>IF(K332="Y",(D332+C332*(E332+F332)+G332)*Escalation!$B$5,0)</f>
        <v/>
      </c>
      <c r="R332">
        <f>IF(L332="Y",(D332+C332*(E332+F332)+G332)*Escalation!$B$6,0)</f>
        <v/>
      </c>
      <c r="S332">
        <f>IF(M332="Y",(D332+C332*(E332+F332)+G332)*Escalation!$B$7,0)</f>
        <v/>
      </c>
      <c r="T332">
        <f>SUM(N332:S332)</f>
        <v/>
      </c>
    </row>
    <row r="333">
      <c r="N333">
        <f>IF(H333="Y",(D333+C333*(E333+F333)+G333)*Escalation!$B$2,0)</f>
        <v/>
      </c>
      <c r="O333">
        <f>IF(I333="Y",(D333+C333*(E333+F333)+G333)*Escalation!$B$3,0)</f>
        <v/>
      </c>
      <c r="P333">
        <f>IF(J333="Y",(D333+C333*(E333+F333)+G333)*Escalation!$B$4,0)</f>
        <v/>
      </c>
      <c r="Q333">
        <f>IF(K333="Y",(D333+C333*(E333+F333)+G333)*Escalation!$B$5,0)</f>
        <v/>
      </c>
      <c r="R333">
        <f>IF(L333="Y",(D333+C333*(E333+F333)+G333)*Escalation!$B$6,0)</f>
        <v/>
      </c>
      <c r="S333">
        <f>IF(M333="Y",(D333+C333*(E333+F333)+G333)*Escalation!$B$7,0)</f>
        <v/>
      </c>
      <c r="T333">
        <f>SUM(N333:S333)</f>
        <v/>
      </c>
    </row>
    <row r="334">
      <c r="N334">
        <f>IF(H334="Y",(D334+C334*(E334+F334)+G334)*Escalation!$B$2,0)</f>
        <v/>
      </c>
      <c r="O334">
        <f>IF(I334="Y",(D334+C334*(E334+F334)+G334)*Escalation!$B$3,0)</f>
        <v/>
      </c>
      <c r="P334">
        <f>IF(J334="Y",(D334+C334*(E334+F334)+G334)*Escalation!$B$4,0)</f>
        <v/>
      </c>
      <c r="Q334">
        <f>IF(K334="Y",(D334+C334*(E334+F334)+G334)*Escalation!$B$5,0)</f>
        <v/>
      </c>
      <c r="R334">
        <f>IF(L334="Y",(D334+C334*(E334+F334)+G334)*Escalation!$B$6,0)</f>
        <v/>
      </c>
      <c r="S334">
        <f>IF(M334="Y",(D334+C334*(E334+F334)+G334)*Escalation!$B$7,0)</f>
        <v/>
      </c>
      <c r="T334">
        <f>SUM(N334:S334)</f>
        <v/>
      </c>
    </row>
    <row r="335">
      <c r="N335">
        <f>IF(H335="Y",(D335+C335*(E335+F335)+G335)*Escalation!$B$2,0)</f>
        <v/>
      </c>
      <c r="O335">
        <f>IF(I335="Y",(D335+C335*(E335+F335)+G335)*Escalation!$B$3,0)</f>
        <v/>
      </c>
      <c r="P335">
        <f>IF(J335="Y",(D335+C335*(E335+F335)+G335)*Escalation!$B$4,0)</f>
        <v/>
      </c>
      <c r="Q335">
        <f>IF(K335="Y",(D335+C335*(E335+F335)+G335)*Escalation!$B$5,0)</f>
        <v/>
      </c>
      <c r="R335">
        <f>IF(L335="Y",(D335+C335*(E335+F335)+G335)*Escalation!$B$6,0)</f>
        <v/>
      </c>
      <c r="S335">
        <f>IF(M335="Y",(D335+C335*(E335+F335)+G335)*Escalation!$B$7,0)</f>
        <v/>
      </c>
      <c r="T335">
        <f>SUM(N335:S335)</f>
        <v/>
      </c>
    </row>
    <row r="336">
      <c r="N336">
        <f>IF(H336="Y",(D336+C336*(E336+F336)+G336)*Escalation!$B$2,0)</f>
        <v/>
      </c>
      <c r="O336">
        <f>IF(I336="Y",(D336+C336*(E336+F336)+G336)*Escalation!$B$3,0)</f>
        <v/>
      </c>
      <c r="P336">
        <f>IF(J336="Y",(D336+C336*(E336+F336)+G336)*Escalation!$B$4,0)</f>
        <v/>
      </c>
      <c r="Q336">
        <f>IF(K336="Y",(D336+C336*(E336+F336)+G336)*Escalation!$B$5,0)</f>
        <v/>
      </c>
      <c r="R336">
        <f>IF(L336="Y",(D336+C336*(E336+F336)+G336)*Escalation!$B$6,0)</f>
        <v/>
      </c>
      <c r="S336">
        <f>IF(M336="Y",(D336+C336*(E336+F336)+G336)*Escalation!$B$7,0)</f>
        <v/>
      </c>
      <c r="T336">
        <f>SUM(N336:S336)</f>
        <v/>
      </c>
    </row>
    <row r="337">
      <c r="N337">
        <f>IF(H337="Y",(D337+C337*(E337+F337)+G337)*Escalation!$B$2,0)</f>
        <v/>
      </c>
      <c r="O337">
        <f>IF(I337="Y",(D337+C337*(E337+F337)+G337)*Escalation!$B$3,0)</f>
        <v/>
      </c>
      <c r="P337">
        <f>IF(J337="Y",(D337+C337*(E337+F337)+G337)*Escalation!$B$4,0)</f>
        <v/>
      </c>
      <c r="Q337">
        <f>IF(K337="Y",(D337+C337*(E337+F337)+G337)*Escalation!$B$5,0)</f>
        <v/>
      </c>
      <c r="R337">
        <f>IF(L337="Y",(D337+C337*(E337+F337)+G337)*Escalation!$B$6,0)</f>
        <v/>
      </c>
      <c r="S337">
        <f>IF(M337="Y",(D337+C337*(E337+F337)+G337)*Escalation!$B$7,0)</f>
        <v/>
      </c>
      <c r="T337">
        <f>SUM(N337:S337)</f>
        <v/>
      </c>
    </row>
    <row r="338">
      <c r="N338">
        <f>IF(H338="Y",(D338+C338*(E338+F338)+G338)*Escalation!$B$2,0)</f>
        <v/>
      </c>
      <c r="O338">
        <f>IF(I338="Y",(D338+C338*(E338+F338)+G338)*Escalation!$B$3,0)</f>
        <v/>
      </c>
      <c r="P338">
        <f>IF(J338="Y",(D338+C338*(E338+F338)+G338)*Escalation!$B$4,0)</f>
        <v/>
      </c>
      <c r="Q338">
        <f>IF(K338="Y",(D338+C338*(E338+F338)+G338)*Escalation!$B$5,0)</f>
        <v/>
      </c>
      <c r="R338">
        <f>IF(L338="Y",(D338+C338*(E338+F338)+G338)*Escalation!$B$6,0)</f>
        <v/>
      </c>
      <c r="S338">
        <f>IF(M338="Y",(D338+C338*(E338+F338)+G338)*Escalation!$B$7,0)</f>
        <v/>
      </c>
      <c r="T338">
        <f>SUM(N338:S338)</f>
        <v/>
      </c>
    </row>
    <row r="339">
      <c r="N339">
        <f>IF(H339="Y",(D339+C339*(E339+F339)+G339)*Escalation!$B$2,0)</f>
        <v/>
      </c>
      <c r="O339">
        <f>IF(I339="Y",(D339+C339*(E339+F339)+G339)*Escalation!$B$3,0)</f>
        <v/>
      </c>
      <c r="P339">
        <f>IF(J339="Y",(D339+C339*(E339+F339)+G339)*Escalation!$B$4,0)</f>
        <v/>
      </c>
      <c r="Q339">
        <f>IF(K339="Y",(D339+C339*(E339+F339)+G339)*Escalation!$B$5,0)</f>
        <v/>
      </c>
      <c r="R339">
        <f>IF(L339="Y",(D339+C339*(E339+F339)+G339)*Escalation!$B$6,0)</f>
        <v/>
      </c>
      <c r="S339">
        <f>IF(M339="Y",(D339+C339*(E339+F339)+G339)*Escalation!$B$7,0)</f>
        <v/>
      </c>
      <c r="T339">
        <f>SUM(N339:S339)</f>
        <v/>
      </c>
    </row>
    <row r="340">
      <c r="N340">
        <f>IF(H340="Y",(D340+C340*(E340+F340)+G340)*Escalation!$B$2,0)</f>
        <v/>
      </c>
      <c r="O340">
        <f>IF(I340="Y",(D340+C340*(E340+F340)+G340)*Escalation!$B$3,0)</f>
        <v/>
      </c>
      <c r="P340">
        <f>IF(J340="Y",(D340+C340*(E340+F340)+G340)*Escalation!$B$4,0)</f>
        <v/>
      </c>
      <c r="Q340">
        <f>IF(K340="Y",(D340+C340*(E340+F340)+G340)*Escalation!$B$5,0)</f>
        <v/>
      </c>
      <c r="R340">
        <f>IF(L340="Y",(D340+C340*(E340+F340)+G340)*Escalation!$B$6,0)</f>
        <v/>
      </c>
      <c r="S340">
        <f>IF(M340="Y",(D340+C340*(E340+F340)+G340)*Escalation!$B$7,0)</f>
        <v/>
      </c>
      <c r="T340">
        <f>SUM(N340:S340)</f>
        <v/>
      </c>
    </row>
    <row r="341">
      <c r="N341">
        <f>IF(H341="Y",(D341+C341*(E341+F341)+G341)*Escalation!$B$2,0)</f>
        <v/>
      </c>
      <c r="O341">
        <f>IF(I341="Y",(D341+C341*(E341+F341)+G341)*Escalation!$B$3,0)</f>
        <v/>
      </c>
      <c r="P341">
        <f>IF(J341="Y",(D341+C341*(E341+F341)+G341)*Escalation!$B$4,0)</f>
        <v/>
      </c>
      <c r="Q341">
        <f>IF(K341="Y",(D341+C341*(E341+F341)+G341)*Escalation!$B$5,0)</f>
        <v/>
      </c>
      <c r="R341">
        <f>IF(L341="Y",(D341+C341*(E341+F341)+G341)*Escalation!$B$6,0)</f>
        <v/>
      </c>
      <c r="S341">
        <f>IF(M341="Y",(D341+C341*(E341+F341)+G341)*Escalation!$B$7,0)</f>
        <v/>
      </c>
      <c r="T341">
        <f>SUM(N341:S341)</f>
        <v/>
      </c>
    </row>
    <row r="342">
      <c r="N342">
        <f>IF(H342="Y",(D342+C342*(E342+F342)+G342)*Escalation!$B$2,0)</f>
        <v/>
      </c>
      <c r="O342">
        <f>IF(I342="Y",(D342+C342*(E342+F342)+G342)*Escalation!$B$3,0)</f>
        <v/>
      </c>
      <c r="P342">
        <f>IF(J342="Y",(D342+C342*(E342+F342)+G342)*Escalation!$B$4,0)</f>
        <v/>
      </c>
      <c r="Q342">
        <f>IF(K342="Y",(D342+C342*(E342+F342)+G342)*Escalation!$B$5,0)</f>
        <v/>
      </c>
      <c r="R342">
        <f>IF(L342="Y",(D342+C342*(E342+F342)+G342)*Escalation!$B$6,0)</f>
        <v/>
      </c>
      <c r="S342">
        <f>IF(M342="Y",(D342+C342*(E342+F342)+G342)*Escalation!$B$7,0)</f>
        <v/>
      </c>
      <c r="T342">
        <f>SUM(N342:S342)</f>
        <v/>
      </c>
    </row>
    <row r="343">
      <c r="N343">
        <f>IF(H343="Y",(D343+C343*(E343+F343)+G343)*Escalation!$B$2,0)</f>
        <v/>
      </c>
      <c r="O343">
        <f>IF(I343="Y",(D343+C343*(E343+F343)+G343)*Escalation!$B$3,0)</f>
        <v/>
      </c>
      <c r="P343">
        <f>IF(J343="Y",(D343+C343*(E343+F343)+G343)*Escalation!$B$4,0)</f>
        <v/>
      </c>
      <c r="Q343">
        <f>IF(K343="Y",(D343+C343*(E343+F343)+G343)*Escalation!$B$5,0)</f>
        <v/>
      </c>
      <c r="R343">
        <f>IF(L343="Y",(D343+C343*(E343+F343)+G343)*Escalation!$B$6,0)</f>
        <v/>
      </c>
      <c r="S343">
        <f>IF(M343="Y",(D343+C343*(E343+F343)+G343)*Escalation!$B$7,0)</f>
        <v/>
      </c>
      <c r="T343">
        <f>SUM(N343:S343)</f>
        <v/>
      </c>
    </row>
    <row r="344">
      <c r="N344">
        <f>IF(H344="Y",(D344+C344*(E344+F344)+G344)*Escalation!$B$2,0)</f>
        <v/>
      </c>
      <c r="O344">
        <f>IF(I344="Y",(D344+C344*(E344+F344)+G344)*Escalation!$B$3,0)</f>
        <v/>
      </c>
      <c r="P344">
        <f>IF(J344="Y",(D344+C344*(E344+F344)+G344)*Escalation!$B$4,0)</f>
        <v/>
      </c>
      <c r="Q344">
        <f>IF(K344="Y",(D344+C344*(E344+F344)+G344)*Escalation!$B$5,0)</f>
        <v/>
      </c>
      <c r="R344">
        <f>IF(L344="Y",(D344+C344*(E344+F344)+G344)*Escalation!$B$6,0)</f>
        <v/>
      </c>
      <c r="S344">
        <f>IF(M344="Y",(D344+C344*(E344+F344)+G344)*Escalation!$B$7,0)</f>
        <v/>
      </c>
      <c r="T344">
        <f>SUM(N344:S344)</f>
        <v/>
      </c>
    </row>
    <row r="345">
      <c r="N345">
        <f>IF(H345="Y",(D345+C345*(E345+F345)+G345)*Escalation!$B$2,0)</f>
        <v/>
      </c>
      <c r="O345">
        <f>IF(I345="Y",(D345+C345*(E345+F345)+G345)*Escalation!$B$3,0)</f>
        <v/>
      </c>
      <c r="P345">
        <f>IF(J345="Y",(D345+C345*(E345+F345)+G345)*Escalation!$B$4,0)</f>
        <v/>
      </c>
      <c r="Q345">
        <f>IF(K345="Y",(D345+C345*(E345+F345)+G345)*Escalation!$B$5,0)</f>
        <v/>
      </c>
      <c r="R345">
        <f>IF(L345="Y",(D345+C345*(E345+F345)+G345)*Escalation!$B$6,0)</f>
        <v/>
      </c>
      <c r="S345">
        <f>IF(M345="Y",(D345+C345*(E345+F345)+G345)*Escalation!$B$7,0)</f>
        <v/>
      </c>
      <c r="T345">
        <f>SUM(N345:S345)</f>
        <v/>
      </c>
    </row>
    <row r="346">
      <c r="N346">
        <f>IF(H346="Y",(D346+C346*(E346+F346)+G346)*Escalation!$B$2,0)</f>
        <v/>
      </c>
      <c r="O346">
        <f>IF(I346="Y",(D346+C346*(E346+F346)+G346)*Escalation!$B$3,0)</f>
        <v/>
      </c>
      <c r="P346">
        <f>IF(J346="Y",(D346+C346*(E346+F346)+G346)*Escalation!$B$4,0)</f>
        <v/>
      </c>
      <c r="Q346">
        <f>IF(K346="Y",(D346+C346*(E346+F346)+G346)*Escalation!$B$5,0)</f>
        <v/>
      </c>
      <c r="R346">
        <f>IF(L346="Y",(D346+C346*(E346+F346)+G346)*Escalation!$B$6,0)</f>
        <v/>
      </c>
      <c r="S346">
        <f>IF(M346="Y",(D346+C346*(E346+F346)+G346)*Escalation!$B$7,0)</f>
        <v/>
      </c>
      <c r="T346">
        <f>SUM(N346:S346)</f>
        <v/>
      </c>
    </row>
    <row r="347">
      <c r="N347">
        <f>IF(H347="Y",(D347+C347*(E347+F347)+G347)*Escalation!$B$2,0)</f>
        <v/>
      </c>
      <c r="O347">
        <f>IF(I347="Y",(D347+C347*(E347+F347)+G347)*Escalation!$B$3,0)</f>
        <v/>
      </c>
      <c r="P347">
        <f>IF(J347="Y",(D347+C347*(E347+F347)+G347)*Escalation!$B$4,0)</f>
        <v/>
      </c>
      <c r="Q347">
        <f>IF(K347="Y",(D347+C347*(E347+F347)+G347)*Escalation!$B$5,0)</f>
        <v/>
      </c>
      <c r="R347">
        <f>IF(L347="Y",(D347+C347*(E347+F347)+G347)*Escalation!$B$6,0)</f>
        <v/>
      </c>
      <c r="S347">
        <f>IF(M347="Y",(D347+C347*(E347+F347)+G347)*Escalation!$B$7,0)</f>
        <v/>
      </c>
      <c r="T347">
        <f>SUM(N347:S347)</f>
        <v/>
      </c>
    </row>
    <row r="348">
      <c r="N348">
        <f>IF(H348="Y",(D348+C348*(E348+F348)+G348)*Escalation!$B$2,0)</f>
        <v/>
      </c>
      <c r="O348">
        <f>IF(I348="Y",(D348+C348*(E348+F348)+G348)*Escalation!$B$3,0)</f>
        <v/>
      </c>
      <c r="P348">
        <f>IF(J348="Y",(D348+C348*(E348+F348)+G348)*Escalation!$B$4,0)</f>
        <v/>
      </c>
      <c r="Q348">
        <f>IF(K348="Y",(D348+C348*(E348+F348)+G348)*Escalation!$B$5,0)</f>
        <v/>
      </c>
      <c r="R348">
        <f>IF(L348="Y",(D348+C348*(E348+F348)+G348)*Escalation!$B$6,0)</f>
        <v/>
      </c>
      <c r="S348">
        <f>IF(M348="Y",(D348+C348*(E348+F348)+G348)*Escalation!$B$7,0)</f>
        <v/>
      </c>
      <c r="T348">
        <f>SUM(N348:S348)</f>
        <v/>
      </c>
    </row>
    <row r="349">
      <c r="N349">
        <f>IF(H349="Y",(D349+C349*(E349+F349)+G349)*Escalation!$B$2,0)</f>
        <v/>
      </c>
      <c r="O349">
        <f>IF(I349="Y",(D349+C349*(E349+F349)+G349)*Escalation!$B$3,0)</f>
        <v/>
      </c>
      <c r="P349">
        <f>IF(J349="Y",(D349+C349*(E349+F349)+G349)*Escalation!$B$4,0)</f>
        <v/>
      </c>
      <c r="Q349">
        <f>IF(K349="Y",(D349+C349*(E349+F349)+G349)*Escalation!$B$5,0)</f>
        <v/>
      </c>
      <c r="R349">
        <f>IF(L349="Y",(D349+C349*(E349+F349)+G349)*Escalation!$B$6,0)</f>
        <v/>
      </c>
      <c r="S349">
        <f>IF(M349="Y",(D349+C349*(E349+F349)+G349)*Escalation!$B$7,0)</f>
        <v/>
      </c>
      <c r="T349">
        <f>SUM(N349:S349)</f>
        <v/>
      </c>
    </row>
    <row r="350">
      <c r="N350">
        <f>IF(H350="Y",(D350+C350*(E350+F350)+G350)*Escalation!$B$2,0)</f>
        <v/>
      </c>
      <c r="O350">
        <f>IF(I350="Y",(D350+C350*(E350+F350)+G350)*Escalation!$B$3,0)</f>
        <v/>
      </c>
      <c r="P350">
        <f>IF(J350="Y",(D350+C350*(E350+F350)+G350)*Escalation!$B$4,0)</f>
        <v/>
      </c>
      <c r="Q350">
        <f>IF(K350="Y",(D350+C350*(E350+F350)+G350)*Escalation!$B$5,0)</f>
        <v/>
      </c>
      <c r="R350">
        <f>IF(L350="Y",(D350+C350*(E350+F350)+G350)*Escalation!$B$6,0)</f>
        <v/>
      </c>
      <c r="S350">
        <f>IF(M350="Y",(D350+C350*(E350+F350)+G350)*Escalation!$B$7,0)</f>
        <v/>
      </c>
      <c r="T350">
        <f>SUM(N350:S350)</f>
        <v/>
      </c>
    </row>
    <row r="351">
      <c r="N351">
        <f>IF(H351="Y",(D351+C351*(E351+F351)+G351)*Escalation!$B$2,0)</f>
        <v/>
      </c>
      <c r="O351">
        <f>IF(I351="Y",(D351+C351*(E351+F351)+G351)*Escalation!$B$3,0)</f>
        <v/>
      </c>
      <c r="P351">
        <f>IF(J351="Y",(D351+C351*(E351+F351)+G351)*Escalation!$B$4,0)</f>
        <v/>
      </c>
      <c r="Q351">
        <f>IF(K351="Y",(D351+C351*(E351+F351)+G351)*Escalation!$B$5,0)</f>
        <v/>
      </c>
      <c r="R351">
        <f>IF(L351="Y",(D351+C351*(E351+F351)+G351)*Escalation!$B$6,0)</f>
        <v/>
      </c>
      <c r="S351">
        <f>IF(M351="Y",(D351+C351*(E351+F351)+G351)*Escalation!$B$7,0)</f>
        <v/>
      </c>
      <c r="T351">
        <f>SUM(N351:S351)</f>
        <v/>
      </c>
    </row>
    <row r="352">
      <c r="N352">
        <f>IF(H352="Y",(D352+C352*(E352+F352)+G352)*Escalation!$B$2,0)</f>
        <v/>
      </c>
      <c r="O352">
        <f>IF(I352="Y",(D352+C352*(E352+F352)+G352)*Escalation!$B$3,0)</f>
        <v/>
      </c>
      <c r="P352">
        <f>IF(J352="Y",(D352+C352*(E352+F352)+G352)*Escalation!$B$4,0)</f>
        <v/>
      </c>
      <c r="Q352">
        <f>IF(K352="Y",(D352+C352*(E352+F352)+G352)*Escalation!$B$5,0)</f>
        <v/>
      </c>
      <c r="R352">
        <f>IF(L352="Y",(D352+C352*(E352+F352)+G352)*Escalation!$B$6,0)</f>
        <v/>
      </c>
      <c r="S352">
        <f>IF(M352="Y",(D352+C352*(E352+F352)+G352)*Escalation!$B$7,0)</f>
        <v/>
      </c>
      <c r="T352">
        <f>SUM(N352:S352)</f>
        <v/>
      </c>
    </row>
    <row r="353">
      <c r="N353">
        <f>IF(H353="Y",(D353+C353*(E353+F353)+G353)*Escalation!$B$2,0)</f>
        <v/>
      </c>
      <c r="O353">
        <f>IF(I353="Y",(D353+C353*(E353+F353)+G353)*Escalation!$B$3,0)</f>
        <v/>
      </c>
      <c r="P353">
        <f>IF(J353="Y",(D353+C353*(E353+F353)+G353)*Escalation!$B$4,0)</f>
        <v/>
      </c>
      <c r="Q353">
        <f>IF(K353="Y",(D353+C353*(E353+F353)+G353)*Escalation!$B$5,0)</f>
        <v/>
      </c>
      <c r="R353">
        <f>IF(L353="Y",(D353+C353*(E353+F353)+G353)*Escalation!$B$6,0)</f>
        <v/>
      </c>
      <c r="S353">
        <f>IF(M353="Y",(D353+C353*(E353+F353)+G353)*Escalation!$B$7,0)</f>
        <v/>
      </c>
      <c r="T353">
        <f>SUM(N353:S353)</f>
        <v/>
      </c>
    </row>
    <row r="354">
      <c r="N354">
        <f>IF(H354="Y",(D354+C354*(E354+F354)+G354)*Escalation!$B$2,0)</f>
        <v/>
      </c>
      <c r="O354">
        <f>IF(I354="Y",(D354+C354*(E354+F354)+G354)*Escalation!$B$3,0)</f>
        <v/>
      </c>
      <c r="P354">
        <f>IF(J354="Y",(D354+C354*(E354+F354)+G354)*Escalation!$B$4,0)</f>
        <v/>
      </c>
      <c r="Q354">
        <f>IF(K354="Y",(D354+C354*(E354+F354)+G354)*Escalation!$B$5,0)</f>
        <v/>
      </c>
      <c r="R354">
        <f>IF(L354="Y",(D354+C354*(E354+F354)+G354)*Escalation!$B$6,0)</f>
        <v/>
      </c>
      <c r="S354">
        <f>IF(M354="Y",(D354+C354*(E354+F354)+G354)*Escalation!$B$7,0)</f>
        <v/>
      </c>
      <c r="T354">
        <f>SUM(N354:S354)</f>
        <v/>
      </c>
    </row>
    <row r="355">
      <c r="N355">
        <f>IF(H355="Y",(D355+C355*(E355+F355)+G355)*Escalation!$B$2,0)</f>
        <v/>
      </c>
      <c r="O355">
        <f>IF(I355="Y",(D355+C355*(E355+F355)+G355)*Escalation!$B$3,0)</f>
        <v/>
      </c>
      <c r="P355">
        <f>IF(J355="Y",(D355+C355*(E355+F355)+G355)*Escalation!$B$4,0)</f>
        <v/>
      </c>
      <c r="Q355">
        <f>IF(K355="Y",(D355+C355*(E355+F355)+G355)*Escalation!$B$5,0)</f>
        <v/>
      </c>
      <c r="R355">
        <f>IF(L355="Y",(D355+C355*(E355+F355)+G355)*Escalation!$B$6,0)</f>
        <v/>
      </c>
      <c r="S355">
        <f>IF(M355="Y",(D355+C355*(E355+F355)+G355)*Escalation!$B$7,0)</f>
        <v/>
      </c>
      <c r="T355">
        <f>SUM(N355:S355)</f>
        <v/>
      </c>
    </row>
    <row r="356">
      <c r="N356">
        <f>IF(H356="Y",(D356+C356*(E356+F356)+G356)*Escalation!$B$2,0)</f>
        <v/>
      </c>
      <c r="O356">
        <f>IF(I356="Y",(D356+C356*(E356+F356)+G356)*Escalation!$B$3,0)</f>
        <v/>
      </c>
      <c r="P356">
        <f>IF(J356="Y",(D356+C356*(E356+F356)+G356)*Escalation!$B$4,0)</f>
        <v/>
      </c>
      <c r="Q356">
        <f>IF(K356="Y",(D356+C356*(E356+F356)+G356)*Escalation!$B$5,0)</f>
        <v/>
      </c>
      <c r="R356">
        <f>IF(L356="Y",(D356+C356*(E356+F356)+G356)*Escalation!$B$6,0)</f>
        <v/>
      </c>
      <c r="S356">
        <f>IF(M356="Y",(D356+C356*(E356+F356)+G356)*Escalation!$B$7,0)</f>
        <v/>
      </c>
      <c r="T356">
        <f>SUM(N356:S356)</f>
        <v/>
      </c>
    </row>
    <row r="357">
      <c r="N357">
        <f>IF(H357="Y",(D357+C357*(E357+F357)+G357)*Escalation!$B$2,0)</f>
        <v/>
      </c>
      <c r="O357">
        <f>IF(I357="Y",(D357+C357*(E357+F357)+G357)*Escalation!$B$3,0)</f>
        <v/>
      </c>
      <c r="P357">
        <f>IF(J357="Y",(D357+C357*(E357+F357)+G357)*Escalation!$B$4,0)</f>
        <v/>
      </c>
      <c r="Q357">
        <f>IF(K357="Y",(D357+C357*(E357+F357)+G357)*Escalation!$B$5,0)</f>
        <v/>
      </c>
      <c r="R357">
        <f>IF(L357="Y",(D357+C357*(E357+F357)+G357)*Escalation!$B$6,0)</f>
        <v/>
      </c>
      <c r="S357">
        <f>IF(M357="Y",(D357+C357*(E357+F357)+G357)*Escalation!$B$7,0)</f>
        <v/>
      </c>
      <c r="T357">
        <f>SUM(N357:S357)</f>
        <v/>
      </c>
    </row>
    <row r="358">
      <c r="N358">
        <f>IF(H358="Y",(D358+C358*(E358+F358)+G358)*Escalation!$B$2,0)</f>
        <v/>
      </c>
      <c r="O358">
        <f>IF(I358="Y",(D358+C358*(E358+F358)+G358)*Escalation!$B$3,0)</f>
        <v/>
      </c>
      <c r="P358">
        <f>IF(J358="Y",(D358+C358*(E358+F358)+G358)*Escalation!$B$4,0)</f>
        <v/>
      </c>
      <c r="Q358">
        <f>IF(K358="Y",(D358+C358*(E358+F358)+G358)*Escalation!$B$5,0)</f>
        <v/>
      </c>
      <c r="R358">
        <f>IF(L358="Y",(D358+C358*(E358+F358)+G358)*Escalation!$B$6,0)</f>
        <v/>
      </c>
      <c r="S358">
        <f>IF(M358="Y",(D358+C358*(E358+F358)+G358)*Escalation!$B$7,0)</f>
        <v/>
      </c>
      <c r="T358">
        <f>SUM(N358:S358)</f>
        <v/>
      </c>
    </row>
    <row r="359">
      <c r="N359">
        <f>IF(H359="Y",(D359+C359*(E359+F359)+G359)*Escalation!$B$2,0)</f>
        <v/>
      </c>
      <c r="O359">
        <f>IF(I359="Y",(D359+C359*(E359+F359)+G359)*Escalation!$B$3,0)</f>
        <v/>
      </c>
      <c r="P359">
        <f>IF(J359="Y",(D359+C359*(E359+F359)+G359)*Escalation!$B$4,0)</f>
        <v/>
      </c>
      <c r="Q359">
        <f>IF(K359="Y",(D359+C359*(E359+F359)+G359)*Escalation!$B$5,0)</f>
        <v/>
      </c>
      <c r="R359">
        <f>IF(L359="Y",(D359+C359*(E359+F359)+G359)*Escalation!$B$6,0)</f>
        <v/>
      </c>
      <c r="S359">
        <f>IF(M359="Y",(D359+C359*(E359+F359)+G359)*Escalation!$B$7,0)</f>
        <v/>
      </c>
      <c r="T359">
        <f>SUM(N359:S359)</f>
        <v/>
      </c>
    </row>
    <row r="360">
      <c r="N360">
        <f>IF(H360="Y",(D360+C360*(E360+F360)+G360)*Escalation!$B$2,0)</f>
        <v/>
      </c>
      <c r="O360">
        <f>IF(I360="Y",(D360+C360*(E360+F360)+G360)*Escalation!$B$3,0)</f>
        <v/>
      </c>
      <c r="P360">
        <f>IF(J360="Y",(D360+C360*(E360+F360)+G360)*Escalation!$B$4,0)</f>
        <v/>
      </c>
      <c r="Q360">
        <f>IF(K360="Y",(D360+C360*(E360+F360)+G360)*Escalation!$B$5,0)</f>
        <v/>
      </c>
      <c r="R360">
        <f>IF(L360="Y",(D360+C360*(E360+F360)+G360)*Escalation!$B$6,0)</f>
        <v/>
      </c>
      <c r="S360">
        <f>IF(M360="Y",(D360+C360*(E360+F360)+G360)*Escalation!$B$7,0)</f>
        <v/>
      </c>
      <c r="T360">
        <f>SUM(N360:S360)</f>
        <v/>
      </c>
    </row>
    <row r="361">
      <c r="N361">
        <f>IF(H361="Y",(D361+C361*(E361+F361)+G361)*Escalation!$B$2,0)</f>
        <v/>
      </c>
      <c r="O361">
        <f>IF(I361="Y",(D361+C361*(E361+F361)+G361)*Escalation!$B$3,0)</f>
        <v/>
      </c>
      <c r="P361">
        <f>IF(J361="Y",(D361+C361*(E361+F361)+G361)*Escalation!$B$4,0)</f>
        <v/>
      </c>
      <c r="Q361">
        <f>IF(K361="Y",(D361+C361*(E361+F361)+G361)*Escalation!$B$5,0)</f>
        <v/>
      </c>
      <c r="R361">
        <f>IF(L361="Y",(D361+C361*(E361+F361)+G361)*Escalation!$B$6,0)</f>
        <v/>
      </c>
      <c r="S361">
        <f>IF(M361="Y",(D361+C361*(E361+F361)+G361)*Escalation!$B$7,0)</f>
        <v/>
      </c>
      <c r="T361">
        <f>SUM(N361:S361)</f>
        <v/>
      </c>
    </row>
    <row r="362">
      <c r="N362">
        <f>IF(H362="Y",(D362+C362*(E362+F362)+G362)*Escalation!$B$2,0)</f>
        <v/>
      </c>
      <c r="O362">
        <f>IF(I362="Y",(D362+C362*(E362+F362)+G362)*Escalation!$B$3,0)</f>
        <v/>
      </c>
      <c r="P362">
        <f>IF(J362="Y",(D362+C362*(E362+F362)+G362)*Escalation!$B$4,0)</f>
        <v/>
      </c>
      <c r="Q362">
        <f>IF(K362="Y",(D362+C362*(E362+F362)+G362)*Escalation!$B$5,0)</f>
        <v/>
      </c>
      <c r="R362">
        <f>IF(L362="Y",(D362+C362*(E362+F362)+G362)*Escalation!$B$6,0)</f>
        <v/>
      </c>
      <c r="S362">
        <f>IF(M362="Y",(D362+C362*(E362+F362)+G362)*Escalation!$B$7,0)</f>
        <v/>
      </c>
      <c r="T362">
        <f>SUM(N362:S362)</f>
        <v/>
      </c>
    </row>
    <row r="363">
      <c r="N363">
        <f>IF(H363="Y",(D363+C363*(E363+F363)+G363)*Escalation!$B$2,0)</f>
        <v/>
      </c>
      <c r="O363">
        <f>IF(I363="Y",(D363+C363*(E363+F363)+G363)*Escalation!$B$3,0)</f>
        <v/>
      </c>
      <c r="P363">
        <f>IF(J363="Y",(D363+C363*(E363+F363)+G363)*Escalation!$B$4,0)</f>
        <v/>
      </c>
      <c r="Q363">
        <f>IF(K363="Y",(D363+C363*(E363+F363)+G363)*Escalation!$B$5,0)</f>
        <v/>
      </c>
      <c r="R363">
        <f>IF(L363="Y",(D363+C363*(E363+F363)+G363)*Escalation!$B$6,0)</f>
        <v/>
      </c>
      <c r="S363">
        <f>IF(M363="Y",(D363+C363*(E363+F363)+G363)*Escalation!$B$7,0)</f>
        <v/>
      </c>
      <c r="T363">
        <f>SUM(N363:S363)</f>
        <v/>
      </c>
    </row>
    <row r="364">
      <c r="N364">
        <f>IF(H364="Y",(D364+C364*(E364+F364)+G364)*Escalation!$B$2,0)</f>
        <v/>
      </c>
      <c r="O364">
        <f>IF(I364="Y",(D364+C364*(E364+F364)+G364)*Escalation!$B$3,0)</f>
        <v/>
      </c>
      <c r="P364">
        <f>IF(J364="Y",(D364+C364*(E364+F364)+G364)*Escalation!$B$4,0)</f>
        <v/>
      </c>
      <c r="Q364">
        <f>IF(K364="Y",(D364+C364*(E364+F364)+G364)*Escalation!$B$5,0)</f>
        <v/>
      </c>
      <c r="R364">
        <f>IF(L364="Y",(D364+C364*(E364+F364)+G364)*Escalation!$B$6,0)</f>
        <v/>
      </c>
      <c r="S364">
        <f>IF(M364="Y",(D364+C364*(E364+F364)+G364)*Escalation!$B$7,0)</f>
        <v/>
      </c>
      <c r="T364">
        <f>SUM(N364:S364)</f>
        <v/>
      </c>
    </row>
    <row r="365">
      <c r="N365">
        <f>IF(H365="Y",(D365+C365*(E365+F365)+G365)*Escalation!$B$2,0)</f>
        <v/>
      </c>
      <c r="O365">
        <f>IF(I365="Y",(D365+C365*(E365+F365)+G365)*Escalation!$B$3,0)</f>
        <v/>
      </c>
      <c r="P365">
        <f>IF(J365="Y",(D365+C365*(E365+F365)+G365)*Escalation!$B$4,0)</f>
        <v/>
      </c>
      <c r="Q365">
        <f>IF(K365="Y",(D365+C365*(E365+F365)+G365)*Escalation!$B$5,0)</f>
        <v/>
      </c>
      <c r="R365">
        <f>IF(L365="Y",(D365+C365*(E365+F365)+G365)*Escalation!$B$6,0)</f>
        <v/>
      </c>
      <c r="S365">
        <f>IF(M365="Y",(D365+C365*(E365+F365)+G365)*Escalation!$B$7,0)</f>
        <v/>
      </c>
      <c r="T365">
        <f>SUM(N365:S365)</f>
        <v/>
      </c>
    </row>
    <row r="366">
      <c r="N366">
        <f>IF(H366="Y",(D366+C366*(E366+F366)+G366)*Escalation!$B$2,0)</f>
        <v/>
      </c>
      <c r="O366">
        <f>IF(I366="Y",(D366+C366*(E366+F366)+G366)*Escalation!$B$3,0)</f>
        <v/>
      </c>
      <c r="P366">
        <f>IF(J366="Y",(D366+C366*(E366+F366)+G366)*Escalation!$B$4,0)</f>
        <v/>
      </c>
      <c r="Q366">
        <f>IF(K366="Y",(D366+C366*(E366+F366)+G366)*Escalation!$B$5,0)</f>
        <v/>
      </c>
      <c r="R366">
        <f>IF(L366="Y",(D366+C366*(E366+F366)+G366)*Escalation!$B$6,0)</f>
        <v/>
      </c>
      <c r="S366">
        <f>IF(M366="Y",(D366+C366*(E366+F366)+G366)*Escalation!$B$7,0)</f>
        <v/>
      </c>
      <c r="T366">
        <f>SUM(N366:S366)</f>
        <v/>
      </c>
    </row>
    <row r="367">
      <c r="N367">
        <f>IF(H367="Y",(D367+C367*(E367+F367)+G367)*Escalation!$B$2,0)</f>
        <v/>
      </c>
      <c r="O367">
        <f>IF(I367="Y",(D367+C367*(E367+F367)+G367)*Escalation!$B$3,0)</f>
        <v/>
      </c>
      <c r="P367">
        <f>IF(J367="Y",(D367+C367*(E367+F367)+G367)*Escalation!$B$4,0)</f>
        <v/>
      </c>
      <c r="Q367">
        <f>IF(K367="Y",(D367+C367*(E367+F367)+G367)*Escalation!$B$5,0)</f>
        <v/>
      </c>
      <c r="R367">
        <f>IF(L367="Y",(D367+C367*(E367+F367)+G367)*Escalation!$B$6,0)</f>
        <v/>
      </c>
      <c r="S367">
        <f>IF(M367="Y",(D367+C367*(E367+F367)+G367)*Escalation!$B$7,0)</f>
        <v/>
      </c>
      <c r="T367">
        <f>SUM(N367:S367)</f>
        <v/>
      </c>
    </row>
    <row r="368">
      <c r="N368">
        <f>IF(H368="Y",(D368+C368*(E368+F368)+G368)*Escalation!$B$2,0)</f>
        <v/>
      </c>
      <c r="O368">
        <f>IF(I368="Y",(D368+C368*(E368+F368)+G368)*Escalation!$B$3,0)</f>
        <v/>
      </c>
      <c r="P368">
        <f>IF(J368="Y",(D368+C368*(E368+F368)+G368)*Escalation!$B$4,0)</f>
        <v/>
      </c>
      <c r="Q368">
        <f>IF(K368="Y",(D368+C368*(E368+F368)+G368)*Escalation!$B$5,0)</f>
        <v/>
      </c>
      <c r="R368">
        <f>IF(L368="Y",(D368+C368*(E368+F368)+G368)*Escalation!$B$6,0)</f>
        <v/>
      </c>
      <c r="S368">
        <f>IF(M368="Y",(D368+C368*(E368+F368)+G368)*Escalation!$B$7,0)</f>
        <v/>
      </c>
      <c r="T368">
        <f>SUM(N368:S368)</f>
        <v/>
      </c>
    </row>
    <row r="369">
      <c r="N369">
        <f>IF(H369="Y",(D369+C369*(E369+F369)+G369)*Escalation!$B$2,0)</f>
        <v/>
      </c>
      <c r="O369">
        <f>IF(I369="Y",(D369+C369*(E369+F369)+G369)*Escalation!$B$3,0)</f>
        <v/>
      </c>
      <c r="P369">
        <f>IF(J369="Y",(D369+C369*(E369+F369)+G369)*Escalation!$B$4,0)</f>
        <v/>
      </c>
      <c r="Q369">
        <f>IF(K369="Y",(D369+C369*(E369+F369)+G369)*Escalation!$B$5,0)</f>
        <v/>
      </c>
      <c r="R369">
        <f>IF(L369="Y",(D369+C369*(E369+F369)+G369)*Escalation!$B$6,0)</f>
        <v/>
      </c>
      <c r="S369">
        <f>IF(M369="Y",(D369+C369*(E369+F369)+G369)*Escalation!$B$7,0)</f>
        <v/>
      </c>
      <c r="T369">
        <f>SUM(N369:S369)</f>
        <v/>
      </c>
    </row>
    <row r="370">
      <c r="N370">
        <f>IF(H370="Y",(D370+C370*(E370+F370)+G370)*Escalation!$B$2,0)</f>
        <v/>
      </c>
      <c r="O370">
        <f>IF(I370="Y",(D370+C370*(E370+F370)+G370)*Escalation!$B$3,0)</f>
        <v/>
      </c>
      <c r="P370">
        <f>IF(J370="Y",(D370+C370*(E370+F370)+G370)*Escalation!$B$4,0)</f>
        <v/>
      </c>
      <c r="Q370">
        <f>IF(K370="Y",(D370+C370*(E370+F370)+G370)*Escalation!$B$5,0)</f>
        <v/>
      </c>
      <c r="R370">
        <f>IF(L370="Y",(D370+C370*(E370+F370)+G370)*Escalation!$B$6,0)</f>
        <v/>
      </c>
      <c r="S370">
        <f>IF(M370="Y",(D370+C370*(E370+F370)+G370)*Escalation!$B$7,0)</f>
        <v/>
      </c>
      <c r="T370">
        <f>SUM(N370:S370)</f>
        <v/>
      </c>
    </row>
    <row r="371">
      <c r="N371">
        <f>IF(H371="Y",(D371+C371*(E371+F371)+G371)*Escalation!$B$2,0)</f>
        <v/>
      </c>
      <c r="O371">
        <f>IF(I371="Y",(D371+C371*(E371+F371)+G371)*Escalation!$B$3,0)</f>
        <v/>
      </c>
      <c r="P371">
        <f>IF(J371="Y",(D371+C371*(E371+F371)+G371)*Escalation!$B$4,0)</f>
        <v/>
      </c>
      <c r="Q371">
        <f>IF(K371="Y",(D371+C371*(E371+F371)+G371)*Escalation!$B$5,0)</f>
        <v/>
      </c>
      <c r="R371">
        <f>IF(L371="Y",(D371+C371*(E371+F371)+G371)*Escalation!$B$6,0)</f>
        <v/>
      </c>
      <c r="S371">
        <f>IF(M371="Y",(D371+C371*(E371+F371)+G371)*Escalation!$B$7,0)</f>
        <v/>
      </c>
      <c r="T371">
        <f>SUM(N371:S371)</f>
        <v/>
      </c>
    </row>
    <row r="372">
      <c r="N372">
        <f>IF(H372="Y",(D372+C372*(E372+F372)+G372)*Escalation!$B$2,0)</f>
        <v/>
      </c>
      <c r="O372">
        <f>IF(I372="Y",(D372+C372*(E372+F372)+G372)*Escalation!$B$3,0)</f>
        <v/>
      </c>
      <c r="P372">
        <f>IF(J372="Y",(D372+C372*(E372+F372)+G372)*Escalation!$B$4,0)</f>
        <v/>
      </c>
      <c r="Q372">
        <f>IF(K372="Y",(D372+C372*(E372+F372)+G372)*Escalation!$B$5,0)</f>
        <v/>
      </c>
      <c r="R372">
        <f>IF(L372="Y",(D372+C372*(E372+F372)+G372)*Escalation!$B$6,0)</f>
        <v/>
      </c>
      <c r="S372">
        <f>IF(M372="Y",(D372+C372*(E372+F372)+G372)*Escalation!$B$7,0)</f>
        <v/>
      </c>
      <c r="T372">
        <f>SUM(N372:S372)</f>
        <v/>
      </c>
    </row>
    <row r="373">
      <c r="N373">
        <f>IF(H373="Y",(D373+C373*(E373+F373)+G373)*Escalation!$B$2,0)</f>
        <v/>
      </c>
      <c r="O373">
        <f>IF(I373="Y",(D373+C373*(E373+F373)+G373)*Escalation!$B$3,0)</f>
        <v/>
      </c>
      <c r="P373">
        <f>IF(J373="Y",(D373+C373*(E373+F373)+G373)*Escalation!$B$4,0)</f>
        <v/>
      </c>
      <c r="Q373">
        <f>IF(K373="Y",(D373+C373*(E373+F373)+G373)*Escalation!$B$5,0)</f>
        <v/>
      </c>
      <c r="R373">
        <f>IF(L373="Y",(D373+C373*(E373+F373)+G373)*Escalation!$B$6,0)</f>
        <v/>
      </c>
      <c r="S373">
        <f>IF(M373="Y",(D373+C373*(E373+F373)+G373)*Escalation!$B$7,0)</f>
        <v/>
      </c>
      <c r="T373">
        <f>SUM(N373:S373)</f>
        <v/>
      </c>
    </row>
    <row r="374">
      <c r="N374">
        <f>IF(H374="Y",(D374+C374*(E374+F374)+G374)*Escalation!$B$2,0)</f>
        <v/>
      </c>
      <c r="O374">
        <f>IF(I374="Y",(D374+C374*(E374+F374)+G374)*Escalation!$B$3,0)</f>
        <v/>
      </c>
      <c r="P374">
        <f>IF(J374="Y",(D374+C374*(E374+F374)+G374)*Escalation!$B$4,0)</f>
        <v/>
      </c>
      <c r="Q374">
        <f>IF(K374="Y",(D374+C374*(E374+F374)+G374)*Escalation!$B$5,0)</f>
        <v/>
      </c>
      <c r="R374">
        <f>IF(L374="Y",(D374+C374*(E374+F374)+G374)*Escalation!$B$6,0)</f>
        <v/>
      </c>
      <c r="S374">
        <f>IF(M374="Y",(D374+C374*(E374+F374)+G374)*Escalation!$B$7,0)</f>
        <v/>
      </c>
      <c r="T374">
        <f>SUM(N374:S374)</f>
        <v/>
      </c>
    </row>
    <row r="375">
      <c r="N375">
        <f>IF(H375="Y",(D375+C375*(E375+F375)+G375)*Escalation!$B$2,0)</f>
        <v/>
      </c>
      <c r="O375">
        <f>IF(I375="Y",(D375+C375*(E375+F375)+G375)*Escalation!$B$3,0)</f>
        <v/>
      </c>
      <c r="P375">
        <f>IF(J375="Y",(D375+C375*(E375+F375)+G375)*Escalation!$B$4,0)</f>
        <v/>
      </c>
      <c r="Q375">
        <f>IF(K375="Y",(D375+C375*(E375+F375)+G375)*Escalation!$B$5,0)</f>
        <v/>
      </c>
      <c r="R375">
        <f>IF(L375="Y",(D375+C375*(E375+F375)+G375)*Escalation!$B$6,0)</f>
        <v/>
      </c>
      <c r="S375">
        <f>IF(M375="Y",(D375+C375*(E375+F375)+G375)*Escalation!$B$7,0)</f>
        <v/>
      </c>
      <c r="T375">
        <f>SUM(N375:S375)</f>
        <v/>
      </c>
    </row>
    <row r="376">
      <c r="N376">
        <f>IF(H376="Y",(D376+C376*(E376+F376)+G376)*Escalation!$B$2,0)</f>
        <v/>
      </c>
      <c r="O376">
        <f>IF(I376="Y",(D376+C376*(E376+F376)+G376)*Escalation!$B$3,0)</f>
        <v/>
      </c>
      <c r="P376">
        <f>IF(J376="Y",(D376+C376*(E376+F376)+G376)*Escalation!$B$4,0)</f>
        <v/>
      </c>
      <c r="Q376">
        <f>IF(K376="Y",(D376+C376*(E376+F376)+G376)*Escalation!$B$5,0)</f>
        <v/>
      </c>
      <c r="R376">
        <f>IF(L376="Y",(D376+C376*(E376+F376)+G376)*Escalation!$B$6,0)</f>
        <v/>
      </c>
      <c r="S376">
        <f>IF(M376="Y",(D376+C376*(E376+F376)+G376)*Escalation!$B$7,0)</f>
        <v/>
      </c>
      <c r="T376">
        <f>SUM(N376:S376)</f>
        <v/>
      </c>
    </row>
    <row r="377">
      <c r="N377">
        <f>IF(H377="Y",(D377+C377*(E377+F377)+G377)*Escalation!$B$2,0)</f>
        <v/>
      </c>
      <c r="O377">
        <f>IF(I377="Y",(D377+C377*(E377+F377)+G377)*Escalation!$B$3,0)</f>
        <v/>
      </c>
      <c r="P377">
        <f>IF(J377="Y",(D377+C377*(E377+F377)+G377)*Escalation!$B$4,0)</f>
        <v/>
      </c>
      <c r="Q377">
        <f>IF(K377="Y",(D377+C377*(E377+F377)+G377)*Escalation!$B$5,0)</f>
        <v/>
      </c>
      <c r="R377">
        <f>IF(L377="Y",(D377+C377*(E377+F377)+G377)*Escalation!$B$6,0)</f>
        <v/>
      </c>
      <c r="S377">
        <f>IF(M377="Y",(D377+C377*(E377+F377)+G377)*Escalation!$B$7,0)</f>
        <v/>
      </c>
      <c r="T377">
        <f>SUM(N377:S377)</f>
        <v/>
      </c>
    </row>
    <row r="378">
      <c r="N378">
        <f>IF(H378="Y",(D378+C378*(E378+F378)+G378)*Escalation!$B$2,0)</f>
        <v/>
      </c>
      <c r="O378">
        <f>IF(I378="Y",(D378+C378*(E378+F378)+G378)*Escalation!$B$3,0)</f>
        <v/>
      </c>
      <c r="P378">
        <f>IF(J378="Y",(D378+C378*(E378+F378)+G378)*Escalation!$B$4,0)</f>
        <v/>
      </c>
      <c r="Q378">
        <f>IF(K378="Y",(D378+C378*(E378+F378)+G378)*Escalation!$B$5,0)</f>
        <v/>
      </c>
      <c r="R378">
        <f>IF(L378="Y",(D378+C378*(E378+F378)+G378)*Escalation!$B$6,0)</f>
        <v/>
      </c>
      <c r="S378">
        <f>IF(M378="Y",(D378+C378*(E378+F378)+G378)*Escalation!$B$7,0)</f>
        <v/>
      </c>
      <c r="T378">
        <f>SUM(N378:S378)</f>
        <v/>
      </c>
    </row>
    <row r="379">
      <c r="N379">
        <f>IF(H379="Y",(D379+C379*(E379+F379)+G379)*Escalation!$B$2,0)</f>
        <v/>
      </c>
      <c r="O379">
        <f>IF(I379="Y",(D379+C379*(E379+F379)+G379)*Escalation!$B$3,0)</f>
        <v/>
      </c>
      <c r="P379">
        <f>IF(J379="Y",(D379+C379*(E379+F379)+G379)*Escalation!$B$4,0)</f>
        <v/>
      </c>
      <c r="Q379">
        <f>IF(K379="Y",(D379+C379*(E379+F379)+G379)*Escalation!$B$5,0)</f>
        <v/>
      </c>
      <c r="R379">
        <f>IF(L379="Y",(D379+C379*(E379+F379)+G379)*Escalation!$B$6,0)</f>
        <v/>
      </c>
      <c r="S379">
        <f>IF(M379="Y",(D379+C379*(E379+F379)+G379)*Escalation!$B$7,0)</f>
        <v/>
      </c>
      <c r="T379">
        <f>SUM(N379:S379)</f>
        <v/>
      </c>
    </row>
    <row r="380">
      <c r="N380">
        <f>IF(H380="Y",(D380+C380*(E380+F380)+G380)*Escalation!$B$2,0)</f>
        <v/>
      </c>
      <c r="O380">
        <f>IF(I380="Y",(D380+C380*(E380+F380)+G380)*Escalation!$B$3,0)</f>
        <v/>
      </c>
      <c r="P380">
        <f>IF(J380="Y",(D380+C380*(E380+F380)+G380)*Escalation!$B$4,0)</f>
        <v/>
      </c>
      <c r="Q380">
        <f>IF(K380="Y",(D380+C380*(E380+F380)+G380)*Escalation!$B$5,0)</f>
        <v/>
      </c>
      <c r="R380">
        <f>IF(L380="Y",(D380+C380*(E380+F380)+G380)*Escalation!$B$6,0)</f>
        <v/>
      </c>
      <c r="S380">
        <f>IF(M380="Y",(D380+C380*(E380+F380)+G380)*Escalation!$B$7,0)</f>
        <v/>
      </c>
      <c r="T380">
        <f>SUM(N380:S380)</f>
        <v/>
      </c>
    </row>
    <row r="381">
      <c r="N381">
        <f>IF(H381="Y",(D381+C381*(E381+F381)+G381)*Escalation!$B$2,0)</f>
        <v/>
      </c>
      <c r="O381">
        <f>IF(I381="Y",(D381+C381*(E381+F381)+G381)*Escalation!$B$3,0)</f>
        <v/>
      </c>
      <c r="P381">
        <f>IF(J381="Y",(D381+C381*(E381+F381)+G381)*Escalation!$B$4,0)</f>
        <v/>
      </c>
      <c r="Q381">
        <f>IF(K381="Y",(D381+C381*(E381+F381)+G381)*Escalation!$B$5,0)</f>
        <v/>
      </c>
      <c r="R381">
        <f>IF(L381="Y",(D381+C381*(E381+F381)+G381)*Escalation!$B$6,0)</f>
        <v/>
      </c>
      <c r="S381">
        <f>IF(M381="Y",(D381+C381*(E381+F381)+G381)*Escalation!$B$7,0)</f>
        <v/>
      </c>
      <c r="T381">
        <f>SUM(N381:S381)</f>
        <v/>
      </c>
    </row>
    <row r="382">
      <c r="N382">
        <f>IF(H382="Y",(D382+C382*(E382+F382)+G382)*Escalation!$B$2,0)</f>
        <v/>
      </c>
      <c r="O382">
        <f>IF(I382="Y",(D382+C382*(E382+F382)+G382)*Escalation!$B$3,0)</f>
        <v/>
      </c>
      <c r="P382">
        <f>IF(J382="Y",(D382+C382*(E382+F382)+G382)*Escalation!$B$4,0)</f>
        <v/>
      </c>
      <c r="Q382">
        <f>IF(K382="Y",(D382+C382*(E382+F382)+G382)*Escalation!$B$5,0)</f>
        <v/>
      </c>
      <c r="R382">
        <f>IF(L382="Y",(D382+C382*(E382+F382)+G382)*Escalation!$B$6,0)</f>
        <v/>
      </c>
      <c r="S382">
        <f>IF(M382="Y",(D382+C382*(E382+F382)+G382)*Escalation!$B$7,0)</f>
        <v/>
      </c>
      <c r="T382">
        <f>SUM(N382:S382)</f>
        <v/>
      </c>
    </row>
    <row r="383">
      <c r="N383">
        <f>IF(H383="Y",(D383+C383*(E383+F383)+G383)*Escalation!$B$2,0)</f>
        <v/>
      </c>
      <c r="O383">
        <f>IF(I383="Y",(D383+C383*(E383+F383)+G383)*Escalation!$B$3,0)</f>
        <v/>
      </c>
      <c r="P383">
        <f>IF(J383="Y",(D383+C383*(E383+F383)+G383)*Escalation!$B$4,0)</f>
        <v/>
      </c>
      <c r="Q383">
        <f>IF(K383="Y",(D383+C383*(E383+F383)+G383)*Escalation!$B$5,0)</f>
        <v/>
      </c>
      <c r="R383">
        <f>IF(L383="Y",(D383+C383*(E383+F383)+G383)*Escalation!$B$6,0)</f>
        <v/>
      </c>
      <c r="S383">
        <f>IF(M383="Y",(D383+C383*(E383+F383)+G383)*Escalation!$B$7,0)</f>
        <v/>
      </c>
      <c r="T383">
        <f>SUM(N383:S383)</f>
        <v/>
      </c>
    </row>
    <row r="384">
      <c r="N384">
        <f>IF(H384="Y",(D384+C384*(E384+F384)+G384)*Escalation!$B$2,0)</f>
        <v/>
      </c>
      <c r="O384">
        <f>IF(I384="Y",(D384+C384*(E384+F384)+G384)*Escalation!$B$3,0)</f>
        <v/>
      </c>
      <c r="P384">
        <f>IF(J384="Y",(D384+C384*(E384+F384)+G384)*Escalation!$B$4,0)</f>
        <v/>
      </c>
      <c r="Q384">
        <f>IF(K384="Y",(D384+C384*(E384+F384)+G384)*Escalation!$B$5,0)</f>
        <v/>
      </c>
      <c r="R384">
        <f>IF(L384="Y",(D384+C384*(E384+F384)+G384)*Escalation!$B$6,0)</f>
        <v/>
      </c>
      <c r="S384">
        <f>IF(M384="Y",(D384+C384*(E384+F384)+G384)*Escalation!$B$7,0)</f>
        <v/>
      </c>
      <c r="T384">
        <f>SUM(N384:S384)</f>
        <v/>
      </c>
    </row>
    <row r="385">
      <c r="N385">
        <f>IF(H385="Y",(D385+C385*(E385+F385)+G385)*Escalation!$B$2,0)</f>
        <v/>
      </c>
      <c r="O385">
        <f>IF(I385="Y",(D385+C385*(E385+F385)+G385)*Escalation!$B$3,0)</f>
        <v/>
      </c>
      <c r="P385">
        <f>IF(J385="Y",(D385+C385*(E385+F385)+G385)*Escalation!$B$4,0)</f>
        <v/>
      </c>
      <c r="Q385">
        <f>IF(K385="Y",(D385+C385*(E385+F385)+G385)*Escalation!$B$5,0)</f>
        <v/>
      </c>
      <c r="R385">
        <f>IF(L385="Y",(D385+C385*(E385+F385)+G385)*Escalation!$B$6,0)</f>
        <v/>
      </c>
      <c r="S385">
        <f>IF(M385="Y",(D385+C385*(E385+F385)+G385)*Escalation!$B$7,0)</f>
        <v/>
      </c>
      <c r="T385">
        <f>SUM(N385:S385)</f>
        <v/>
      </c>
    </row>
    <row r="386">
      <c r="N386">
        <f>IF(H386="Y",(D386+C386*(E386+F386)+G386)*Escalation!$B$2,0)</f>
        <v/>
      </c>
      <c r="O386">
        <f>IF(I386="Y",(D386+C386*(E386+F386)+G386)*Escalation!$B$3,0)</f>
        <v/>
      </c>
      <c r="P386">
        <f>IF(J386="Y",(D386+C386*(E386+F386)+G386)*Escalation!$B$4,0)</f>
        <v/>
      </c>
      <c r="Q386">
        <f>IF(K386="Y",(D386+C386*(E386+F386)+G386)*Escalation!$B$5,0)</f>
        <v/>
      </c>
      <c r="R386">
        <f>IF(L386="Y",(D386+C386*(E386+F386)+G386)*Escalation!$B$6,0)</f>
        <v/>
      </c>
      <c r="S386">
        <f>IF(M386="Y",(D386+C386*(E386+F386)+G386)*Escalation!$B$7,0)</f>
        <v/>
      </c>
      <c r="T386">
        <f>SUM(N386:S386)</f>
        <v/>
      </c>
    </row>
    <row r="387">
      <c r="N387">
        <f>IF(H387="Y",(D387+C387*(E387+F387)+G387)*Escalation!$B$2,0)</f>
        <v/>
      </c>
      <c r="O387">
        <f>IF(I387="Y",(D387+C387*(E387+F387)+G387)*Escalation!$B$3,0)</f>
        <v/>
      </c>
      <c r="P387">
        <f>IF(J387="Y",(D387+C387*(E387+F387)+G387)*Escalation!$B$4,0)</f>
        <v/>
      </c>
      <c r="Q387">
        <f>IF(K387="Y",(D387+C387*(E387+F387)+G387)*Escalation!$B$5,0)</f>
        <v/>
      </c>
      <c r="R387">
        <f>IF(L387="Y",(D387+C387*(E387+F387)+G387)*Escalation!$B$6,0)</f>
        <v/>
      </c>
      <c r="S387">
        <f>IF(M387="Y",(D387+C387*(E387+F387)+G387)*Escalation!$B$7,0)</f>
        <v/>
      </c>
      <c r="T387">
        <f>SUM(N387:S387)</f>
        <v/>
      </c>
    </row>
    <row r="388">
      <c r="N388">
        <f>IF(H388="Y",(D388+C388*(E388+F388)+G388)*Escalation!$B$2,0)</f>
        <v/>
      </c>
      <c r="O388">
        <f>IF(I388="Y",(D388+C388*(E388+F388)+G388)*Escalation!$B$3,0)</f>
        <v/>
      </c>
      <c r="P388">
        <f>IF(J388="Y",(D388+C388*(E388+F388)+G388)*Escalation!$B$4,0)</f>
        <v/>
      </c>
      <c r="Q388">
        <f>IF(K388="Y",(D388+C388*(E388+F388)+G388)*Escalation!$B$5,0)</f>
        <v/>
      </c>
      <c r="R388">
        <f>IF(L388="Y",(D388+C388*(E388+F388)+G388)*Escalation!$B$6,0)</f>
        <v/>
      </c>
      <c r="S388">
        <f>IF(M388="Y",(D388+C388*(E388+F388)+G388)*Escalation!$B$7,0)</f>
        <v/>
      </c>
      <c r="T388">
        <f>SUM(N388:S388)</f>
        <v/>
      </c>
    </row>
    <row r="389">
      <c r="N389">
        <f>IF(H389="Y",(D389+C389*(E389+F389)+G389)*Escalation!$B$2,0)</f>
        <v/>
      </c>
      <c r="O389">
        <f>IF(I389="Y",(D389+C389*(E389+F389)+G389)*Escalation!$B$3,0)</f>
        <v/>
      </c>
      <c r="P389">
        <f>IF(J389="Y",(D389+C389*(E389+F389)+G389)*Escalation!$B$4,0)</f>
        <v/>
      </c>
      <c r="Q389">
        <f>IF(K389="Y",(D389+C389*(E389+F389)+G389)*Escalation!$B$5,0)</f>
        <v/>
      </c>
      <c r="R389">
        <f>IF(L389="Y",(D389+C389*(E389+F389)+G389)*Escalation!$B$6,0)</f>
        <v/>
      </c>
      <c r="S389">
        <f>IF(M389="Y",(D389+C389*(E389+F389)+G389)*Escalation!$B$7,0)</f>
        <v/>
      </c>
      <c r="T389">
        <f>SUM(N389:S389)</f>
        <v/>
      </c>
    </row>
    <row r="390">
      <c r="N390">
        <f>IF(H390="Y",(D390+C390*(E390+F390)+G390)*Escalation!$B$2,0)</f>
        <v/>
      </c>
      <c r="O390">
        <f>IF(I390="Y",(D390+C390*(E390+F390)+G390)*Escalation!$B$3,0)</f>
        <v/>
      </c>
      <c r="P390">
        <f>IF(J390="Y",(D390+C390*(E390+F390)+G390)*Escalation!$B$4,0)</f>
        <v/>
      </c>
      <c r="Q390">
        <f>IF(K390="Y",(D390+C390*(E390+F390)+G390)*Escalation!$B$5,0)</f>
        <v/>
      </c>
      <c r="R390">
        <f>IF(L390="Y",(D390+C390*(E390+F390)+G390)*Escalation!$B$6,0)</f>
        <v/>
      </c>
      <c r="S390">
        <f>IF(M390="Y",(D390+C390*(E390+F390)+G390)*Escalation!$B$7,0)</f>
        <v/>
      </c>
      <c r="T390">
        <f>SUM(N390:S390)</f>
        <v/>
      </c>
    </row>
    <row r="391">
      <c r="N391">
        <f>IF(H391="Y",(D391+C391*(E391+F391)+G391)*Escalation!$B$2,0)</f>
        <v/>
      </c>
      <c r="O391">
        <f>IF(I391="Y",(D391+C391*(E391+F391)+G391)*Escalation!$B$3,0)</f>
        <v/>
      </c>
      <c r="P391">
        <f>IF(J391="Y",(D391+C391*(E391+F391)+G391)*Escalation!$B$4,0)</f>
        <v/>
      </c>
      <c r="Q391">
        <f>IF(K391="Y",(D391+C391*(E391+F391)+G391)*Escalation!$B$5,0)</f>
        <v/>
      </c>
      <c r="R391">
        <f>IF(L391="Y",(D391+C391*(E391+F391)+G391)*Escalation!$B$6,0)</f>
        <v/>
      </c>
      <c r="S391">
        <f>IF(M391="Y",(D391+C391*(E391+F391)+G391)*Escalation!$B$7,0)</f>
        <v/>
      </c>
      <c r="T391">
        <f>SUM(N391:S391)</f>
        <v/>
      </c>
    </row>
    <row r="392">
      <c r="N392">
        <f>IF(H392="Y",(D392+C392*(E392+F392)+G392)*Escalation!$B$2,0)</f>
        <v/>
      </c>
      <c r="O392">
        <f>IF(I392="Y",(D392+C392*(E392+F392)+G392)*Escalation!$B$3,0)</f>
        <v/>
      </c>
      <c r="P392">
        <f>IF(J392="Y",(D392+C392*(E392+F392)+G392)*Escalation!$B$4,0)</f>
        <v/>
      </c>
      <c r="Q392">
        <f>IF(K392="Y",(D392+C392*(E392+F392)+G392)*Escalation!$B$5,0)</f>
        <v/>
      </c>
      <c r="R392">
        <f>IF(L392="Y",(D392+C392*(E392+F392)+G392)*Escalation!$B$6,0)</f>
        <v/>
      </c>
      <c r="S392">
        <f>IF(M392="Y",(D392+C392*(E392+F392)+G392)*Escalation!$B$7,0)</f>
        <v/>
      </c>
      <c r="T392">
        <f>SUM(N392:S392)</f>
        <v/>
      </c>
    </row>
    <row r="393">
      <c r="N393">
        <f>IF(H393="Y",(D393+C393*(E393+F393)+G393)*Escalation!$B$2,0)</f>
        <v/>
      </c>
      <c r="O393">
        <f>IF(I393="Y",(D393+C393*(E393+F393)+G393)*Escalation!$B$3,0)</f>
        <v/>
      </c>
      <c r="P393">
        <f>IF(J393="Y",(D393+C393*(E393+F393)+G393)*Escalation!$B$4,0)</f>
        <v/>
      </c>
      <c r="Q393">
        <f>IF(K393="Y",(D393+C393*(E393+F393)+G393)*Escalation!$B$5,0)</f>
        <v/>
      </c>
      <c r="R393">
        <f>IF(L393="Y",(D393+C393*(E393+F393)+G393)*Escalation!$B$6,0)</f>
        <v/>
      </c>
      <c r="S393">
        <f>IF(M393="Y",(D393+C393*(E393+F393)+G393)*Escalation!$B$7,0)</f>
        <v/>
      </c>
      <c r="T393">
        <f>SUM(N393:S393)</f>
        <v/>
      </c>
    </row>
    <row r="394">
      <c r="N394">
        <f>IF(H394="Y",(D394+C394*(E394+F394)+G394)*Escalation!$B$2,0)</f>
        <v/>
      </c>
      <c r="O394">
        <f>IF(I394="Y",(D394+C394*(E394+F394)+G394)*Escalation!$B$3,0)</f>
        <v/>
      </c>
      <c r="P394">
        <f>IF(J394="Y",(D394+C394*(E394+F394)+G394)*Escalation!$B$4,0)</f>
        <v/>
      </c>
      <c r="Q394">
        <f>IF(K394="Y",(D394+C394*(E394+F394)+G394)*Escalation!$B$5,0)</f>
        <v/>
      </c>
      <c r="R394">
        <f>IF(L394="Y",(D394+C394*(E394+F394)+G394)*Escalation!$B$6,0)</f>
        <v/>
      </c>
      <c r="S394">
        <f>IF(M394="Y",(D394+C394*(E394+F394)+G394)*Escalation!$B$7,0)</f>
        <v/>
      </c>
      <c r="T394">
        <f>SUM(N394:S394)</f>
        <v/>
      </c>
    </row>
    <row r="395">
      <c r="N395">
        <f>IF(H395="Y",(D395+C395*(E395+F395)+G395)*Escalation!$B$2,0)</f>
        <v/>
      </c>
      <c r="O395">
        <f>IF(I395="Y",(D395+C395*(E395+F395)+G395)*Escalation!$B$3,0)</f>
        <v/>
      </c>
      <c r="P395">
        <f>IF(J395="Y",(D395+C395*(E395+F395)+G395)*Escalation!$B$4,0)</f>
        <v/>
      </c>
      <c r="Q395">
        <f>IF(K395="Y",(D395+C395*(E395+F395)+G395)*Escalation!$B$5,0)</f>
        <v/>
      </c>
      <c r="R395">
        <f>IF(L395="Y",(D395+C395*(E395+F395)+G395)*Escalation!$B$6,0)</f>
        <v/>
      </c>
      <c r="S395">
        <f>IF(M395="Y",(D395+C395*(E395+F395)+G395)*Escalation!$B$7,0)</f>
        <v/>
      </c>
      <c r="T395">
        <f>SUM(N395:S395)</f>
        <v/>
      </c>
    </row>
    <row r="396">
      <c r="N396">
        <f>IF(H396="Y",(D396+C396*(E396+F396)+G396)*Escalation!$B$2,0)</f>
        <v/>
      </c>
      <c r="O396">
        <f>IF(I396="Y",(D396+C396*(E396+F396)+G396)*Escalation!$B$3,0)</f>
        <v/>
      </c>
      <c r="P396">
        <f>IF(J396="Y",(D396+C396*(E396+F396)+G396)*Escalation!$B$4,0)</f>
        <v/>
      </c>
      <c r="Q396">
        <f>IF(K396="Y",(D396+C396*(E396+F396)+G396)*Escalation!$B$5,0)</f>
        <v/>
      </c>
      <c r="R396">
        <f>IF(L396="Y",(D396+C396*(E396+F396)+G396)*Escalation!$B$6,0)</f>
        <v/>
      </c>
      <c r="S396">
        <f>IF(M396="Y",(D396+C396*(E396+F396)+G396)*Escalation!$B$7,0)</f>
        <v/>
      </c>
      <c r="T396">
        <f>SUM(N396:S396)</f>
        <v/>
      </c>
    </row>
    <row r="397">
      <c r="N397">
        <f>IF(H397="Y",(D397+C397*(E397+F397)+G397)*Escalation!$B$2,0)</f>
        <v/>
      </c>
      <c r="O397">
        <f>IF(I397="Y",(D397+C397*(E397+F397)+G397)*Escalation!$B$3,0)</f>
        <v/>
      </c>
      <c r="P397">
        <f>IF(J397="Y",(D397+C397*(E397+F397)+G397)*Escalation!$B$4,0)</f>
        <v/>
      </c>
      <c r="Q397">
        <f>IF(K397="Y",(D397+C397*(E397+F397)+G397)*Escalation!$B$5,0)</f>
        <v/>
      </c>
      <c r="R397">
        <f>IF(L397="Y",(D397+C397*(E397+F397)+G397)*Escalation!$B$6,0)</f>
        <v/>
      </c>
      <c r="S397">
        <f>IF(M397="Y",(D397+C397*(E397+F397)+G397)*Escalation!$B$7,0)</f>
        <v/>
      </c>
      <c r="T397">
        <f>SUM(N397:S397)</f>
        <v/>
      </c>
    </row>
    <row r="398">
      <c r="N398">
        <f>IF(H398="Y",(D398+C398*(E398+F398)+G398)*Escalation!$B$2,0)</f>
        <v/>
      </c>
      <c r="O398">
        <f>IF(I398="Y",(D398+C398*(E398+F398)+G398)*Escalation!$B$3,0)</f>
        <v/>
      </c>
      <c r="P398">
        <f>IF(J398="Y",(D398+C398*(E398+F398)+G398)*Escalation!$B$4,0)</f>
        <v/>
      </c>
      <c r="Q398">
        <f>IF(K398="Y",(D398+C398*(E398+F398)+G398)*Escalation!$B$5,0)</f>
        <v/>
      </c>
      <c r="R398">
        <f>IF(L398="Y",(D398+C398*(E398+F398)+G398)*Escalation!$B$6,0)</f>
        <v/>
      </c>
      <c r="S398">
        <f>IF(M398="Y",(D398+C398*(E398+F398)+G398)*Escalation!$B$7,0)</f>
        <v/>
      </c>
      <c r="T398">
        <f>SUM(N398:S398)</f>
        <v/>
      </c>
    </row>
    <row r="399">
      <c r="N399">
        <f>IF(H399="Y",(D399+C399*(E399+F399)+G399)*Escalation!$B$2,0)</f>
        <v/>
      </c>
      <c r="O399">
        <f>IF(I399="Y",(D399+C399*(E399+F399)+G399)*Escalation!$B$3,0)</f>
        <v/>
      </c>
      <c r="P399">
        <f>IF(J399="Y",(D399+C399*(E399+F399)+G399)*Escalation!$B$4,0)</f>
        <v/>
      </c>
      <c r="Q399">
        <f>IF(K399="Y",(D399+C399*(E399+F399)+G399)*Escalation!$B$5,0)</f>
        <v/>
      </c>
      <c r="R399">
        <f>IF(L399="Y",(D399+C399*(E399+F399)+G399)*Escalation!$B$6,0)</f>
        <v/>
      </c>
      <c r="S399">
        <f>IF(M399="Y",(D399+C399*(E399+F399)+G399)*Escalation!$B$7,0)</f>
        <v/>
      </c>
      <c r="T399">
        <f>SUM(N399:S399)</f>
        <v/>
      </c>
    </row>
    <row r="400">
      <c r="N400">
        <f>IF(H400="Y",(D400+C400*(E400+F400)+G400)*Escalation!$B$2,0)</f>
        <v/>
      </c>
      <c r="O400">
        <f>IF(I400="Y",(D400+C400*(E400+F400)+G400)*Escalation!$B$3,0)</f>
        <v/>
      </c>
      <c r="P400">
        <f>IF(J400="Y",(D400+C400*(E400+F400)+G400)*Escalation!$B$4,0)</f>
        <v/>
      </c>
      <c r="Q400">
        <f>IF(K400="Y",(D400+C400*(E400+F400)+G400)*Escalation!$B$5,0)</f>
        <v/>
      </c>
      <c r="R400">
        <f>IF(L400="Y",(D400+C400*(E400+F400)+G400)*Escalation!$B$6,0)</f>
        <v/>
      </c>
      <c r="S400">
        <f>IF(M400="Y",(D400+C400*(E400+F400)+G400)*Escalation!$B$7,0)</f>
        <v/>
      </c>
      <c r="T400">
        <f>SUM(N400:S400)</f>
        <v/>
      </c>
    </row>
    <row r="401">
      <c r="N401">
        <f>IF(H401="Y",(D401+C401*(E401+F401)+G401)*Escalation!$B$2,0)</f>
        <v/>
      </c>
      <c r="O401">
        <f>IF(I401="Y",(D401+C401*(E401+F401)+G401)*Escalation!$B$3,0)</f>
        <v/>
      </c>
      <c r="P401">
        <f>IF(J401="Y",(D401+C401*(E401+F401)+G401)*Escalation!$B$4,0)</f>
        <v/>
      </c>
      <c r="Q401">
        <f>IF(K401="Y",(D401+C401*(E401+F401)+G401)*Escalation!$B$5,0)</f>
        <v/>
      </c>
      <c r="R401">
        <f>IF(L401="Y",(D401+C401*(E401+F401)+G401)*Escalation!$B$6,0)</f>
        <v/>
      </c>
      <c r="S401">
        <f>IF(M401="Y",(D401+C401*(E401+F401)+G401)*Escalation!$B$7,0)</f>
        <v/>
      </c>
      <c r="T401">
        <f>SUM(N401:S401)</f>
        <v/>
      </c>
    </row>
    <row r="402">
      <c r="N402">
        <f>IF(H402="Y",(D402+C402*(E402+F402)+G402)*Escalation!$B$2,0)</f>
        <v/>
      </c>
      <c r="O402">
        <f>IF(I402="Y",(D402+C402*(E402+F402)+G402)*Escalation!$B$3,0)</f>
        <v/>
      </c>
      <c r="P402">
        <f>IF(J402="Y",(D402+C402*(E402+F402)+G402)*Escalation!$B$4,0)</f>
        <v/>
      </c>
      <c r="Q402">
        <f>IF(K402="Y",(D402+C402*(E402+F402)+G402)*Escalation!$B$5,0)</f>
        <v/>
      </c>
      <c r="R402">
        <f>IF(L402="Y",(D402+C402*(E402+F402)+G402)*Escalation!$B$6,0)</f>
        <v/>
      </c>
      <c r="S402">
        <f>IF(M402="Y",(D402+C402*(E402+F402)+G402)*Escalation!$B$7,0)</f>
        <v/>
      </c>
      <c r="T402">
        <f>SUM(N402:S402)</f>
        <v/>
      </c>
    </row>
    <row r="403">
      <c r="N403">
        <f>IF(H403="Y",(D403+C403*(E403+F403)+G403)*Escalation!$B$2,0)</f>
        <v/>
      </c>
      <c r="O403">
        <f>IF(I403="Y",(D403+C403*(E403+F403)+G403)*Escalation!$B$3,0)</f>
        <v/>
      </c>
      <c r="P403">
        <f>IF(J403="Y",(D403+C403*(E403+F403)+G403)*Escalation!$B$4,0)</f>
        <v/>
      </c>
      <c r="Q403">
        <f>IF(K403="Y",(D403+C403*(E403+F403)+G403)*Escalation!$B$5,0)</f>
        <v/>
      </c>
      <c r="R403">
        <f>IF(L403="Y",(D403+C403*(E403+F403)+G403)*Escalation!$B$6,0)</f>
        <v/>
      </c>
      <c r="S403">
        <f>IF(M403="Y",(D403+C403*(E403+F403)+G403)*Escalation!$B$7,0)</f>
        <v/>
      </c>
      <c r="T403">
        <f>SUM(N403:S403)</f>
        <v/>
      </c>
    </row>
    <row r="404">
      <c r="N404">
        <f>IF(H404="Y",(D404+C404*(E404+F404)+G404)*Escalation!$B$2,0)</f>
        <v/>
      </c>
      <c r="O404">
        <f>IF(I404="Y",(D404+C404*(E404+F404)+G404)*Escalation!$B$3,0)</f>
        <v/>
      </c>
      <c r="P404">
        <f>IF(J404="Y",(D404+C404*(E404+F404)+G404)*Escalation!$B$4,0)</f>
        <v/>
      </c>
      <c r="Q404">
        <f>IF(K404="Y",(D404+C404*(E404+F404)+G404)*Escalation!$B$5,0)</f>
        <v/>
      </c>
      <c r="R404">
        <f>IF(L404="Y",(D404+C404*(E404+F404)+G404)*Escalation!$B$6,0)</f>
        <v/>
      </c>
      <c r="S404">
        <f>IF(M404="Y",(D404+C404*(E404+F404)+G404)*Escalation!$B$7,0)</f>
        <v/>
      </c>
      <c r="T404">
        <f>SUM(N404:S404)</f>
        <v/>
      </c>
    </row>
    <row r="405">
      <c r="N405">
        <f>IF(H405="Y",(D405+C405*(E405+F405)+G405)*Escalation!$B$2,0)</f>
        <v/>
      </c>
      <c r="O405">
        <f>IF(I405="Y",(D405+C405*(E405+F405)+G405)*Escalation!$B$3,0)</f>
        <v/>
      </c>
      <c r="P405">
        <f>IF(J405="Y",(D405+C405*(E405+F405)+G405)*Escalation!$B$4,0)</f>
        <v/>
      </c>
      <c r="Q405">
        <f>IF(K405="Y",(D405+C405*(E405+F405)+G405)*Escalation!$B$5,0)</f>
        <v/>
      </c>
      <c r="R405">
        <f>IF(L405="Y",(D405+C405*(E405+F405)+G405)*Escalation!$B$6,0)</f>
        <v/>
      </c>
      <c r="S405">
        <f>IF(M405="Y",(D405+C405*(E405+F405)+G405)*Escalation!$B$7,0)</f>
        <v/>
      </c>
      <c r="T405">
        <f>SUM(N405:S405)</f>
        <v/>
      </c>
    </row>
    <row r="406">
      <c r="N406">
        <f>IF(H406="Y",(D406+C406*(E406+F406)+G406)*Escalation!$B$2,0)</f>
        <v/>
      </c>
      <c r="O406">
        <f>IF(I406="Y",(D406+C406*(E406+F406)+G406)*Escalation!$B$3,0)</f>
        <v/>
      </c>
      <c r="P406">
        <f>IF(J406="Y",(D406+C406*(E406+F406)+G406)*Escalation!$B$4,0)</f>
        <v/>
      </c>
      <c r="Q406">
        <f>IF(K406="Y",(D406+C406*(E406+F406)+G406)*Escalation!$B$5,0)</f>
        <v/>
      </c>
      <c r="R406">
        <f>IF(L406="Y",(D406+C406*(E406+F406)+G406)*Escalation!$B$6,0)</f>
        <v/>
      </c>
      <c r="S406">
        <f>IF(M406="Y",(D406+C406*(E406+F406)+G406)*Escalation!$B$7,0)</f>
        <v/>
      </c>
      <c r="T406">
        <f>SUM(N406:S406)</f>
        <v/>
      </c>
    </row>
    <row r="407">
      <c r="N407">
        <f>IF(H407="Y",(D407+C407*(E407+F407)+G407)*Escalation!$B$2,0)</f>
        <v/>
      </c>
      <c r="O407">
        <f>IF(I407="Y",(D407+C407*(E407+F407)+G407)*Escalation!$B$3,0)</f>
        <v/>
      </c>
      <c r="P407">
        <f>IF(J407="Y",(D407+C407*(E407+F407)+G407)*Escalation!$B$4,0)</f>
        <v/>
      </c>
      <c r="Q407">
        <f>IF(K407="Y",(D407+C407*(E407+F407)+G407)*Escalation!$B$5,0)</f>
        <v/>
      </c>
      <c r="R407">
        <f>IF(L407="Y",(D407+C407*(E407+F407)+G407)*Escalation!$B$6,0)</f>
        <v/>
      </c>
      <c r="S407">
        <f>IF(M407="Y",(D407+C407*(E407+F407)+G407)*Escalation!$B$7,0)</f>
        <v/>
      </c>
      <c r="T407">
        <f>SUM(N407:S407)</f>
        <v/>
      </c>
    </row>
    <row r="408">
      <c r="N408">
        <f>IF(H408="Y",(D408+C408*(E408+F408)+G408)*Escalation!$B$2,0)</f>
        <v/>
      </c>
      <c r="O408">
        <f>IF(I408="Y",(D408+C408*(E408+F408)+G408)*Escalation!$B$3,0)</f>
        <v/>
      </c>
      <c r="P408">
        <f>IF(J408="Y",(D408+C408*(E408+F408)+G408)*Escalation!$B$4,0)</f>
        <v/>
      </c>
      <c r="Q408">
        <f>IF(K408="Y",(D408+C408*(E408+F408)+G408)*Escalation!$B$5,0)</f>
        <v/>
      </c>
      <c r="R408">
        <f>IF(L408="Y",(D408+C408*(E408+F408)+G408)*Escalation!$B$6,0)</f>
        <v/>
      </c>
      <c r="S408">
        <f>IF(M408="Y",(D408+C408*(E408+F408)+G408)*Escalation!$B$7,0)</f>
        <v/>
      </c>
      <c r="T408">
        <f>SUM(N408:S408)</f>
        <v/>
      </c>
    </row>
    <row r="409">
      <c r="N409">
        <f>IF(H409="Y",(D409+C409*(E409+F409)+G409)*Escalation!$B$2,0)</f>
        <v/>
      </c>
      <c r="O409">
        <f>IF(I409="Y",(D409+C409*(E409+F409)+G409)*Escalation!$B$3,0)</f>
        <v/>
      </c>
      <c r="P409">
        <f>IF(J409="Y",(D409+C409*(E409+F409)+G409)*Escalation!$B$4,0)</f>
        <v/>
      </c>
      <c r="Q409">
        <f>IF(K409="Y",(D409+C409*(E409+F409)+G409)*Escalation!$B$5,0)</f>
        <v/>
      </c>
      <c r="R409">
        <f>IF(L409="Y",(D409+C409*(E409+F409)+G409)*Escalation!$B$6,0)</f>
        <v/>
      </c>
      <c r="S409">
        <f>IF(M409="Y",(D409+C409*(E409+F409)+G409)*Escalation!$B$7,0)</f>
        <v/>
      </c>
      <c r="T409">
        <f>SUM(N409:S409)</f>
        <v/>
      </c>
    </row>
    <row r="410">
      <c r="N410">
        <f>IF(H410="Y",(D410+C410*(E410+F410)+G410)*Escalation!$B$2,0)</f>
        <v/>
      </c>
      <c r="O410">
        <f>IF(I410="Y",(D410+C410*(E410+F410)+G410)*Escalation!$B$3,0)</f>
        <v/>
      </c>
      <c r="P410">
        <f>IF(J410="Y",(D410+C410*(E410+F410)+G410)*Escalation!$B$4,0)</f>
        <v/>
      </c>
      <c r="Q410">
        <f>IF(K410="Y",(D410+C410*(E410+F410)+G410)*Escalation!$B$5,0)</f>
        <v/>
      </c>
      <c r="R410">
        <f>IF(L410="Y",(D410+C410*(E410+F410)+G410)*Escalation!$B$6,0)</f>
        <v/>
      </c>
      <c r="S410">
        <f>IF(M410="Y",(D410+C410*(E410+F410)+G410)*Escalation!$B$7,0)</f>
        <v/>
      </c>
      <c r="T410">
        <f>SUM(N410:S410)</f>
        <v/>
      </c>
    </row>
    <row r="411">
      <c r="N411">
        <f>IF(H411="Y",(D411+C411*(E411+F411)+G411)*Escalation!$B$2,0)</f>
        <v/>
      </c>
      <c r="O411">
        <f>IF(I411="Y",(D411+C411*(E411+F411)+G411)*Escalation!$B$3,0)</f>
        <v/>
      </c>
      <c r="P411">
        <f>IF(J411="Y",(D411+C411*(E411+F411)+G411)*Escalation!$B$4,0)</f>
        <v/>
      </c>
      <c r="Q411">
        <f>IF(K411="Y",(D411+C411*(E411+F411)+G411)*Escalation!$B$5,0)</f>
        <v/>
      </c>
      <c r="R411">
        <f>IF(L411="Y",(D411+C411*(E411+F411)+G411)*Escalation!$B$6,0)</f>
        <v/>
      </c>
      <c r="S411">
        <f>IF(M411="Y",(D411+C411*(E411+F411)+G411)*Escalation!$B$7,0)</f>
        <v/>
      </c>
      <c r="T411">
        <f>SUM(N411:S411)</f>
        <v/>
      </c>
    </row>
    <row r="412">
      <c r="N412">
        <f>IF(H412="Y",(D412+C412*(E412+F412)+G412)*Escalation!$B$2,0)</f>
        <v/>
      </c>
      <c r="O412">
        <f>IF(I412="Y",(D412+C412*(E412+F412)+G412)*Escalation!$B$3,0)</f>
        <v/>
      </c>
      <c r="P412">
        <f>IF(J412="Y",(D412+C412*(E412+F412)+G412)*Escalation!$B$4,0)</f>
        <v/>
      </c>
      <c r="Q412">
        <f>IF(K412="Y",(D412+C412*(E412+F412)+G412)*Escalation!$B$5,0)</f>
        <v/>
      </c>
      <c r="R412">
        <f>IF(L412="Y",(D412+C412*(E412+F412)+G412)*Escalation!$B$6,0)</f>
        <v/>
      </c>
      <c r="S412">
        <f>IF(M412="Y",(D412+C412*(E412+F412)+G412)*Escalation!$B$7,0)</f>
        <v/>
      </c>
      <c r="T412">
        <f>SUM(N412:S412)</f>
        <v/>
      </c>
    </row>
    <row r="413">
      <c r="N413">
        <f>IF(H413="Y",(D413+C413*(E413+F413)+G413)*Escalation!$B$2,0)</f>
        <v/>
      </c>
      <c r="O413">
        <f>IF(I413="Y",(D413+C413*(E413+F413)+G413)*Escalation!$B$3,0)</f>
        <v/>
      </c>
      <c r="P413">
        <f>IF(J413="Y",(D413+C413*(E413+F413)+G413)*Escalation!$B$4,0)</f>
        <v/>
      </c>
      <c r="Q413">
        <f>IF(K413="Y",(D413+C413*(E413+F413)+G413)*Escalation!$B$5,0)</f>
        <v/>
      </c>
      <c r="R413">
        <f>IF(L413="Y",(D413+C413*(E413+F413)+G413)*Escalation!$B$6,0)</f>
        <v/>
      </c>
      <c r="S413">
        <f>IF(M413="Y",(D413+C413*(E413+F413)+G413)*Escalation!$B$7,0)</f>
        <v/>
      </c>
      <c r="T413">
        <f>SUM(N413:S413)</f>
        <v/>
      </c>
    </row>
    <row r="414">
      <c r="N414">
        <f>IF(H414="Y",(D414+C414*(E414+F414)+G414)*Escalation!$B$2,0)</f>
        <v/>
      </c>
      <c r="O414">
        <f>IF(I414="Y",(D414+C414*(E414+F414)+G414)*Escalation!$B$3,0)</f>
        <v/>
      </c>
      <c r="P414">
        <f>IF(J414="Y",(D414+C414*(E414+F414)+G414)*Escalation!$B$4,0)</f>
        <v/>
      </c>
      <c r="Q414">
        <f>IF(K414="Y",(D414+C414*(E414+F414)+G414)*Escalation!$B$5,0)</f>
        <v/>
      </c>
      <c r="R414">
        <f>IF(L414="Y",(D414+C414*(E414+F414)+G414)*Escalation!$B$6,0)</f>
        <v/>
      </c>
      <c r="S414">
        <f>IF(M414="Y",(D414+C414*(E414+F414)+G414)*Escalation!$B$7,0)</f>
        <v/>
      </c>
      <c r="T414">
        <f>SUM(N414:S414)</f>
        <v/>
      </c>
    </row>
    <row r="415">
      <c r="N415">
        <f>IF(H415="Y",(D415+C415*(E415+F415)+G415)*Escalation!$B$2,0)</f>
        <v/>
      </c>
      <c r="O415">
        <f>IF(I415="Y",(D415+C415*(E415+F415)+G415)*Escalation!$B$3,0)</f>
        <v/>
      </c>
      <c r="P415">
        <f>IF(J415="Y",(D415+C415*(E415+F415)+G415)*Escalation!$B$4,0)</f>
        <v/>
      </c>
      <c r="Q415">
        <f>IF(K415="Y",(D415+C415*(E415+F415)+G415)*Escalation!$B$5,0)</f>
        <v/>
      </c>
      <c r="R415">
        <f>IF(L415="Y",(D415+C415*(E415+F415)+G415)*Escalation!$B$6,0)</f>
        <v/>
      </c>
      <c r="S415">
        <f>IF(M415="Y",(D415+C415*(E415+F415)+G415)*Escalation!$B$7,0)</f>
        <v/>
      </c>
      <c r="T415">
        <f>SUM(N415:S415)</f>
        <v/>
      </c>
    </row>
    <row r="416">
      <c r="N416">
        <f>IF(H416="Y",(D416+C416*(E416+F416)+G416)*Escalation!$B$2,0)</f>
        <v/>
      </c>
      <c r="O416">
        <f>IF(I416="Y",(D416+C416*(E416+F416)+G416)*Escalation!$B$3,0)</f>
        <v/>
      </c>
      <c r="P416">
        <f>IF(J416="Y",(D416+C416*(E416+F416)+G416)*Escalation!$B$4,0)</f>
        <v/>
      </c>
      <c r="Q416">
        <f>IF(K416="Y",(D416+C416*(E416+F416)+G416)*Escalation!$B$5,0)</f>
        <v/>
      </c>
      <c r="R416">
        <f>IF(L416="Y",(D416+C416*(E416+F416)+G416)*Escalation!$B$6,0)</f>
        <v/>
      </c>
      <c r="S416">
        <f>IF(M416="Y",(D416+C416*(E416+F416)+G416)*Escalation!$B$7,0)</f>
        <v/>
      </c>
      <c r="T416">
        <f>SUM(N416:S416)</f>
        <v/>
      </c>
    </row>
    <row r="417">
      <c r="N417">
        <f>IF(H417="Y",(D417+C417*(E417+F417)+G417)*Escalation!$B$2,0)</f>
        <v/>
      </c>
      <c r="O417">
        <f>IF(I417="Y",(D417+C417*(E417+F417)+G417)*Escalation!$B$3,0)</f>
        <v/>
      </c>
      <c r="P417">
        <f>IF(J417="Y",(D417+C417*(E417+F417)+G417)*Escalation!$B$4,0)</f>
        <v/>
      </c>
      <c r="Q417">
        <f>IF(K417="Y",(D417+C417*(E417+F417)+G417)*Escalation!$B$5,0)</f>
        <v/>
      </c>
      <c r="R417">
        <f>IF(L417="Y",(D417+C417*(E417+F417)+G417)*Escalation!$B$6,0)</f>
        <v/>
      </c>
      <c r="S417">
        <f>IF(M417="Y",(D417+C417*(E417+F417)+G417)*Escalation!$B$7,0)</f>
        <v/>
      </c>
      <c r="T417">
        <f>SUM(N417:S417)</f>
        <v/>
      </c>
    </row>
    <row r="418">
      <c r="N418">
        <f>IF(H418="Y",(D418+C418*(E418+F418)+G418)*Escalation!$B$2,0)</f>
        <v/>
      </c>
      <c r="O418">
        <f>IF(I418="Y",(D418+C418*(E418+F418)+G418)*Escalation!$B$3,0)</f>
        <v/>
      </c>
      <c r="P418">
        <f>IF(J418="Y",(D418+C418*(E418+F418)+G418)*Escalation!$B$4,0)</f>
        <v/>
      </c>
      <c r="Q418">
        <f>IF(K418="Y",(D418+C418*(E418+F418)+G418)*Escalation!$B$5,0)</f>
        <v/>
      </c>
      <c r="R418">
        <f>IF(L418="Y",(D418+C418*(E418+F418)+G418)*Escalation!$B$6,0)</f>
        <v/>
      </c>
      <c r="S418">
        <f>IF(M418="Y",(D418+C418*(E418+F418)+G418)*Escalation!$B$7,0)</f>
        <v/>
      </c>
      <c r="T418">
        <f>SUM(N418:S418)</f>
        <v/>
      </c>
    </row>
    <row r="419">
      <c r="N419">
        <f>IF(H419="Y",(D419+C419*(E419+F419)+G419)*Escalation!$B$2,0)</f>
        <v/>
      </c>
      <c r="O419">
        <f>IF(I419="Y",(D419+C419*(E419+F419)+G419)*Escalation!$B$3,0)</f>
        <v/>
      </c>
      <c r="P419">
        <f>IF(J419="Y",(D419+C419*(E419+F419)+G419)*Escalation!$B$4,0)</f>
        <v/>
      </c>
      <c r="Q419">
        <f>IF(K419="Y",(D419+C419*(E419+F419)+G419)*Escalation!$B$5,0)</f>
        <v/>
      </c>
      <c r="R419">
        <f>IF(L419="Y",(D419+C419*(E419+F419)+G419)*Escalation!$B$6,0)</f>
        <v/>
      </c>
      <c r="S419">
        <f>IF(M419="Y",(D419+C419*(E419+F419)+G419)*Escalation!$B$7,0)</f>
        <v/>
      </c>
      <c r="T419">
        <f>SUM(N419:S419)</f>
        <v/>
      </c>
    </row>
    <row r="420">
      <c r="N420">
        <f>IF(H420="Y",(D420+C420*(E420+F420)+G420)*Escalation!$B$2,0)</f>
        <v/>
      </c>
      <c r="O420">
        <f>IF(I420="Y",(D420+C420*(E420+F420)+G420)*Escalation!$B$3,0)</f>
        <v/>
      </c>
      <c r="P420">
        <f>IF(J420="Y",(D420+C420*(E420+F420)+G420)*Escalation!$B$4,0)</f>
        <v/>
      </c>
      <c r="Q420">
        <f>IF(K420="Y",(D420+C420*(E420+F420)+G420)*Escalation!$B$5,0)</f>
        <v/>
      </c>
      <c r="R420">
        <f>IF(L420="Y",(D420+C420*(E420+F420)+G420)*Escalation!$B$6,0)</f>
        <v/>
      </c>
      <c r="S420">
        <f>IF(M420="Y",(D420+C420*(E420+F420)+G420)*Escalation!$B$7,0)</f>
        <v/>
      </c>
      <c r="T420">
        <f>SUM(N420:S420)</f>
        <v/>
      </c>
    </row>
    <row r="421">
      <c r="N421">
        <f>IF(H421="Y",(D421+C421*(E421+F421)+G421)*Escalation!$B$2,0)</f>
        <v/>
      </c>
      <c r="O421">
        <f>IF(I421="Y",(D421+C421*(E421+F421)+G421)*Escalation!$B$3,0)</f>
        <v/>
      </c>
      <c r="P421">
        <f>IF(J421="Y",(D421+C421*(E421+F421)+G421)*Escalation!$B$4,0)</f>
        <v/>
      </c>
      <c r="Q421">
        <f>IF(K421="Y",(D421+C421*(E421+F421)+G421)*Escalation!$B$5,0)</f>
        <v/>
      </c>
      <c r="R421">
        <f>IF(L421="Y",(D421+C421*(E421+F421)+G421)*Escalation!$B$6,0)</f>
        <v/>
      </c>
      <c r="S421">
        <f>IF(M421="Y",(D421+C421*(E421+F421)+G421)*Escalation!$B$7,0)</f>
        <v/>
      </c>
      <c r="T421">
        <f>SUM(N421:S421)</f>
        <v/>
      </c>
    </row>
    <row r="422">
      <c r="N422">
        <f>IF(H422="Y",(D422+C422*(E422+F422)+G422)*Escalation!$B$2,0)</f>
        <v/>
      </c>
      <c r="O422">
        <f>IF(I422="Y",(D422+C422*(E422+F422)+G422)*Escalation!$B$3,0)</f>
        <v/>
      </c>
      <c r="P422">
        <f>IF(J422="Y",(D422+C422*(E422+F422)+G422)*Escalation!$B$4,0)</f>
        <v/>
      </c>
      <c r="Q422">
        <f>IF(K422="Y",(D422+C422*(E422+F422)+G422)*Escalation!$B$5,0)</f>
        <v/>
      </c>
      <c r="R422">
        <f>IF(L422="Y",(D422+C422*(E422+F422)+G422)*Escalation!$B$6,0)</f>
        <v/>
      </c>
      <c r="S422">
        <f>IF(M422="Y",(D422+C422*(E422+F422)+G422)*Escalation!$B$7,0)</f>
        <v/>
      </c>
      <c r="T422">
        <f>SUM(N422:S422)</f>
        <v/>
      </c>
    </row>
    <row r="423">
      <c r="N423">
        <f>IF(H423="Y",(D423+C423*(E423+F423)+G423)*Escalation!$B$2,0)</f>
        <v/>
      </c>
      <c r="O423">
        <f>IF(I423="Y",(D423+C423*(E423+F423)+G423)*Escalation!$B$3,0)</f>
        <v/>
      </c>
      <c r="P423">
        <f>IF(J423="Y",(D423+C423*(E423+F423)+G423)*Escalation!$B$4,0)</f>
        <v/>
      </c>
      <c r="Q423">
        <f>IF(K423="Y",(D423+C423*(E423+F423)+G423)*Escalation!$B$5,0)</f>
        <v/>
      </c>
      <c r="R423">
        <f>IF(L423="Y",(D423+C423*(E423+F423)+G423)*Escalation!$B$6,0)</f>
        <v/>
      </c>
      <c r="S423">
        <f>IF(M423="Y",(D423+C423*(E423+F423)+G423)*Escalation!$B$7,0)</f>
        <v/>
      </c>
      <c r="T423">
        <f>SUM(N423:S423)</f>
        <v/>
      </c>
    </row>
    <row r="424">
      <c r="N424">
        <f>IF(H424="Y",(D424+C424*(E424+F424)+G424)*Escalation!$B$2,0)</f>
        <v/>
      </c>
      <c r="O424">
        <f>IF(I424="Y",(D424+C424*(E424+F424)+G424)*Escalation!$B$3,0)</f>
        <v/>
      </c>
      <c r="P424">
        <f>IF(J424="Y",(D424+C424*(E424+F424)+G424)*Escalation!$B$4,0)</f>
        <v/>
      </c>
      <c r="Q424">
        <f>IF(K424="Y",(D424+C424*(E424+F424)+G424)*Escalation!$B$5,0)</f>
        <v/>
      </c>
      <c r="R424">
        <f>IF(L424="Y",(D424+C424*(E424+F424)+G424)*Escalation!$B$6,0)</f>
        <v/>
      </c>
      <c r="S424">
        <f>IF(M424="Y",(D424+C424*(E424+F424)+G424)*Escalation!$B$7,0)</f>
        <v/>
      </c>
      <c r="T424">
        <f>SUM(N424:S424)</f>
        <v/>
      </c>
    </row>
    <row r="425">
      <c r="N425">
        <f>IF(H425="Y",(D425+C425*(E425+F425)+G425)*Escalation!$B$2,0)</f>
        <v/>
      </c>
      <c r="O425">
        <f>IF(I425="Y",(D425+C425*(E425+F425)+G425)*Escalation!$B$3,0)</f>
        <v/>
      </c>
      <c r="P425">
        <f>IF(J425="Y",(D425+C425*(E425+F425)+G425)*Escalation!$B$4,0)</f>
        <v/>
      </c>
      <c r="Q425">
        <f>IF(K425="Y",(D425+C425*(E425+F425)+G425)*Escalation!$B$5,0)</f>
        <v/>
      </c>
      <c r="R425">
        <f>IF(L425="Y",(D425+C425*(E425+F425)+G425)*Escalation!$B$6,0)</f>
        <v/>
      </c>
      <c r="S425">
        <f>IF(M425="Y",(D425+C425*(E425+F425)+G425)*Escalation!$B$7,0)</f>
        <v/>
      </c>
      <c r="T425">
        <f>SUM(N425:S425)</f>
        <v/>
      </c>
    </row>
    <row r="426">
      <c r="N426">
        <f>IF(H426="Y",(D426+C426*(E426+F426)+G426)*Escalation!$B$2,0)</f>
        <v/>
      </c>
      <c r="O426">
        <f>IF(I426="Y",(D426+C426*(E426+F426)+G426)*Escalation!$B$3,0)</f>
        <v/>
      </c>
      <c r="P426">
        <f>IF(J426="Y",(D426+C426*(E426+F426)+G426)*Escalation!$B$4,0)</f>
        <v/>
      </c>
      <c r="Q426">
        <f>IF(K426="Y",(D426+C426*(E426+F426)+G426)*Escalation!$B$5,0)</f>
        <v/>
      </c>
      <c r="R426">
        <f>IF(L426="Y",(D426+C426*(E426+F426)+G426)*Escalation!$B$6,0)</f>
        <v/>
      </c>
      <c r="S426">
        <f>IF(M426="Y",(D426+C426*(E426+F426)+G426)*Escalation!$B$7,0)</f>
        <v/>
      </c>
      <c r="T426">
        <f>SUM(N426:S426)</f>
        <v/>
      </c>
    </row>
    <row r="427">
      <c r="N427">
        <f>IF(H427="Y",(D427+C427*(E427+F427)+G427)*Escalation!$B$2,0)</f>
        <v/>
      </c>
      <c r="O427">
        <f>IF(I427="Y",(D427+C427*(E427+F427)+G427)*Escalation!$B$3,0)</f>
        <v/>
      </c>
      <c r="P427">
        <f>IF(J427="Y",(D427+C427*(E427+F427)+G427)*Escalation!$B$4,0)</f>
        <v/>
      </c>
      <c r="Q427">
        <f>IF(K427="Y",(D427+C427*(E427+F427)+G427)*Escalation!$B$5,0)</f>
        <v/>
      </c>
      <c r="R427">
        <f>IF(L427="Y",(D427+C427*(E427+F427)+G427)*Escalation!$B$6,0)</f>
        <v/>
      </c>
      <c r="S427">
        <f>IF(M427="Y",(D427+C427*(E427+F427)+G427)*Escalation!$B$7,0)</f>
        <v/>
      </c>
      <c r="T427">
        <f>SUM(N427:S427)</f>
        <v/>
      </c>
    </row>
    <row r="428">
      <c r="N428">
        <f>IF(H428="Y",(D428+C428*(E428+F428)+G428)*Escalation!$B$2,0)</f>
        <v/>
      </c>
      <c r="O428">
        <f>IF(I428="Y",(D428+C428*(E428+F428)+G428)*Escalation!$B$3,0)</f>
        <v/>
      </c>
      <c r="P428">
        <f>IF(J428="Y",(D428+C428*(E428+F428)+G428)*Escalation!$B$4,0)</f>
        <v/>
      </c>
      <c r="Q428">
        <f>IF(K428="Y",(D428+C428*(E428+F428)+G428)*Escalation!$B$5,0)</f>
        <v/>
      </c>
      <c r="R428">
        <f>IF(L428="Y",(D428+C428*(E428+F428)+G428)*Escalation!$B$6,0)</f>
        <v/>
      </c>
      <c r="S428">
        <f>IF(M428="Y",(D428+C428*(E428+F428)+G428)*Escalation!$B$7,0)</f>
        <v/>
      </c>
      <c r="T428">
        <f>SUM(N428:S428)</f>
        <v/>
      </c>
    </row>
    <row r="429">
      <c r="N429">
        <f>IF(H429="Y",(D429+C429*(E429+F429)+G429)*Escalation!$B$2,0)</f>
        <v/>
      </c>
      <c r="O429">
        <f>IF(I429="Y",(D429+C429*(E429+F429)+G429)*Escalation!$B$3,0)</f>
        <v/>
      </c>
      <c r="P429">
        <f>IF(J429="Y",(D429+C429*(E429+F429)+G429)*Escalation!$B$4,0)</f>
        <v/>
      </c>
      <c r="Q429">
        <f>IF(K429="Y",(D429+C429*(E429+F429)+G429)*Escalation!$B$5,0)</f>
        <v/>
      </c>
      <c r="R429">
        <f>IF(L429="Y",(D429+C429*(E429+F429)+G429)*Escalation!$B$6,0)</f>
        <v/>
      </c>
      <c r="S429">
        <f>IF(M429="Y",(D429+C429*(E429+F429)+G429)*Escalation!$B$7,0)</f>
        <v/>
      </c>
      <c r="T429">
        <f>SUM(N429:S429)</f>
        <v/>
      </c>
    </row>
    <row r="430">
      <c r="N430">
        <f>IF(H430="Y",(D430+C430*(E430+F430)+G430)*Escalation!$B$2,0)</f>
        <v/>
      </c>
      <c r="O430">
        <f>IF(I430="Y",(D430+C430*(E430+F430)+G430)*Escalation!$B$3,0)</f>
        <v/>
      </c>
      <c r="P430">
        <f>IF(J430="Y",(D430+C430*(E430+F430)+G430)*Escalation!$B$4,0)</f>
        <v/>
      </c>
      <c r="Q430">
        <f>IF(K430="Y",(D430+C430*(E430+F430)+G430)*Escalation!$B$5,0)</f>
        <v/>
      </c>
      <c r="R430">
        <f>IF(L430="Y",(D430+C430*(E430+F430)+G430)*Escalation!$B$6,0)</f>
        <v/>
      </c>
      <c r="S430">
        <f>IF(M430="Y",(D430+C430*(E430+F430)+G430)*Escalation!$B$7,0)</f>
        <v/>
      </c>
      <c r="T430">
        <f>SUM(N430:S430)</f>
        <v/>
      </c>
    </row>
    <row r="431">
      <c r="N431">
        <f>IF(H431="Y",(D431+C431*(E431+F431)+G431)*Escalation!$B$2,0)</f>
        <v/>
      </c>
      <c r="O431">
        <f>IF(I431="Y",(D431+C431*(E431+F431)+G431)*Escalation!$B$3,0)</f>
        <v/>
      </c>
      <c r="P431">
        <f>IF(J431="Y",(D431+C431*(E431+F431)+G431)*Escalation!$B$4,0)</f>
        <v/>
      </c>
      <c r="Q431">
        <f>IF(K431="Y",(D431+C431*(E431+F431)+G431)*Escalation!$B$5,0)</f>
        <v/>
      </c>
      <c r="R431">
        <f>IF(L431="Y",(D431+C431*(E431+F431)+G431)*Escalation!$B$6,0)</f>
        <v/>
      </c>
      <c r="S431">
        <f>IF(M431="Y",(D431+C431*(E431+F431)+G431)*Escalation!$B$7,0)</f>
        <v/>
      </c>
      <c r="T431">
        <f>SUM(N431:S431)</f>
        <v/>
      </c>
    </row>
    <row r="432">
      <c r="N432">
        <f>IF(H432="Y",(D432+C432*(E432+F432)+G432)*Escalation!$B$2,0)</f>
        <v/>
      </c>
      <c r="O432">
        <f>IF(I432="Y",(D432+C432*(E432+F432)+G432)*Escalation!$B$3,0)</f>
        <v/>
      </c>
      <c r="P432">
        <f>IF(J432="Y",(D432+C432*(E432+F432)+G432)*Escalation!$B$4,0)</f>
        <v/>
      </c>
      <c r="Q432">
        <f>IF(K432="Y",(D432+C432*(E432+F432)+G432)*Escalation!$B$5,0)</f>
        <v/>
      </c>
      <c r="R432">
        <f>IF(L432="Y",(D432+C432*(E432+F432)+G432)*Escalation!$B$6,0)</f>
        <v/>
      </c>
      <c r="S432">
        <f>IF(M432="Y",(D432+C432*(E432+F432)+G432)*Escalation!$B$7,0)</f>
        <v/>
      </c>
      <c r="T432">
        <f>SUM(N432:S432)</f>
        <v/>
      </c>
    </row>
    <row r="433">
      <c r="N433">
        <f>IF(H433="Y",(D433+C433*(E433+F433)+G433)*Escalation!$B$2,0)</f>
        <v/>
      </c>
      <c r="O433">
        <f>IF(I433="Y",(D433+C433*(E433+F433)+G433)*Escalation!$B$3,0)</f>
        <v/>
      </c>
      <c r="P433">
        <f>IF(J433="Y",(D433+C433*(E433+F433)+G433)*Escalation!$B$4,0)</f>
        <v/>
      </c>
      <c r="Q433">
        <f>IF(K433="Y",(D433+C433*(E433+F433)+G433)*Escalation!$B$5,0)</f>
        <v/>
      </c>
      <c r="R433">
        <f>IF(L433="Y",(D433+C433*(E433+F433)+G433)*Escalation!$B$6,0)</f>
        <v/>
      </c>
      <c r="S433">
        <f>IF(M433="Y",(D433+C433*(E433+F433)+G433)*Escalation!$B$7,0)</f>
        <v/>
      </c>
      <c r="T433">
        <f>SUM(N433:S433)</f>
        <v/>
      </c>
    </row>
    <row r="434">
      <c r="N434">
        <f>IF(H434="Y",(D434+C434*(E434+F434)+G434)*Escalation!$B$2,0)</f>
        <v/>
      </c>
      <c r="O434">
        <f>IF(I434="Y",(D434+C434*(E434+F434)+G434)*Escalation!$B$3,0)</f>
        <v/>
      </c>
      <c r="P434">
        <f>IF(J434="Y",(D434+C434*(E434+F434)+G434)*Escalation!$B$4,0)</f>
        <v/>
      </c>
      <c r="Q434">
        <f>IF(K434="Y",(D434+C434*(E434+F434)+G434)*Escalation!$B$5,0)</f>
        <v/>
      </c>
      <c r="R434">
        <f>IF(L434="Y",(D434+C434*(E434+F434)+G434)*Escalation!$B$6,0)</f>
        <v/>
      </c>
      <c r="S434">
        <f>IF(M434="Y",(D434+C434*(E434+F434)+G434)*Escalation!$B$7,0)</f>
        <v/>
      </c>
      <c r="T434">
        <f>SUM(N434:S434)</f>
        <v/>
      </c>
    </row>
    <row r="435">
      <c r="N435">
        <f>IF(H435="Y",(D435+C435*(E435+F435)+G435)*Escalation!$B$2,0)</f>
        <v/>
      </c>
      <c r="O435">
        <f>IF(I435="Y",(D435+C435*(E435+F435)+G435)*Escalation!$B$3,0)</f>
        <v/>
      </c>
      <c r="P435">
        <f>IF(J435="Y",(D435+C435*(E435+F435)+G435)*Escalation!$B$4,0)</f>
        <v/>
      </c>
      <c r="Q435">
        <f>IF(K435="Y",(D435+C435*(E435+F435)+G435)*Escalation!$B$5,0)</f>
        <v/>
      </c>
      <c r="R435">
        <f>IF(L435="Y",(D435+C435*(E435+F435)+G435)*Escalation!$B$6,0)</f>
        <v/>
      </c>
      <c r="S435">
        <f>IF(M435="Y",(D435+C435*(E435+F435)+G435)*Escalation!$B$7,0)</f>
        <v/>
      </c>
      <c r="T435">
        <f>SUM(N435:S435)</f>
        <v/>
      </c>
    </row>
    <row r="436">
      <c r="N436">
        <f>IF(H436="Y",(D436+C436*(E436+F436)+G436)*Escalation!$B$2,0)</f>
        <v/>
      </c>
      <c r="O436">
        <f>IF(I436="Y",(D436+C436*(E436+F436)+G436)*Escalation!$B$3,0)</f>
        <v/>
      </c>
      <c r="P436">
        <f>IF(J436="Y",(D436+C436*(E436+F436)+G436)*Escalation!$B$4,0)</f>
        <v/>
      </c>
      <c r="Q436">
        <f>IF(K436="Y",(D436+C436*(E436+F436)+G436)*Escalation!$B$5,0)</f>
        <v/>
      </c>
      <c r="R436">
        <f>IF(L436="Y",(D436+C436*(E436+F436)+G436)*Escalation!$B$6,0)</f>
        <v/>
      </c>
      <c r="S436">
        <f>IF(M436="Y",(D436+C436*(E436+F436)+G436)*Escalation!$B$7,0)</f>
        <v/>
      </c>
      <c r="T436">
        <f>SUM(N436:S436)</f>
        <v/>
      </c>
    </row>
    <row r="437">
      <c r="N437">
        <f>IF(H437="Y",(D437+C437*(E437+F437)+G437)*Escalation!$B$2,0)</f>
        <v/>
      </c>
      <c r="O437">
        <f>IF(I437="Y",(D437+C437*(E437+F437)+G437)*Escalation!$B$3,0)</f>
        <v/>
      </c>
      <c r="P437">
        <f>IF(J437="Y",(D437+C437*(E437+F437)+G437)*Escalation!$B$4,0)</f>
        <v/>
      </c>
      <c r="Q437">
        <f>IF(K437="Y",(D437+C437*(E437+F437)+G437)*Escalation!$B$5,0)</f>
        <v/>
      </c>
      <c r="R437">
        <f>IF(L437="Y",(D437+C437*(E437+F437)+G437)*Escalation!$B$6,0)</f>
        <v/>
      </c>
      <c r="S437">
        <f>IF(M437="Y",(D437+C437*(E437+F437)+G437)*Escalation!$B$7,0)</f>
        <v/>
      </c>
      <c r="T437">
        <f>SUM(N437:S437)</f>
        <v/>
      </c>
    </row>
    <row r="438">
      <c r="N438">
        <f>IF(H438="Y",(D438+C438*(E438+F438)+G438)*Escalation!$B$2,0)</f>
        <v/>
      </c>
      <c r="O438">
        <f>IF(I438="Y",(D438+C438*(E438+F438)+G438)*Escalation!$B$3,0)</f>
        <v/>
      </c>
      <c r="P438">
        <f>IF(J438="Y",(D438+C438*(E438+F438)+G438)*Escalation!$B$4,0)</f>
        <v/>
      </c>
      <c r="Q438">
        <f>IF(K438="Y",(D438+C438*(E438+F438)+G438)*Escalation!$B$5,0)</f>
        <v/>
      </c>
      <c r="R438">
        <f>IF(L438="Y",(D438+C438*(E438+F438)+G438)*Escalation!$B$6,0)</f>
        <v/>
      </c>
      <c r="S438">
        <f>IF(M438="Y",(D438+C438*(E438+F438)+G438)*Escalation!$B$7,0)</f>
        <v/>
      </c>
      <c r="T438">
        <f>SUM(N438:S438)</f>
        <v/>
      </c>
    </row>
    <row r="439">
      <c r="N439">
        <f>IF(H439="Y",(D439+C439*(E439+F439)+G439)*Escalation!$B$2,0)</f>
        <v/>
      </c>
      <c r="O439">
        <f>IF(I439="Y",(D439+C439*(E439+F439)+G439)*Escalation!$B$3,0)</f>
        <v/>
      </c>
      <c r="P439">
        <f>IF(J439="Y",(D439+C439*(E439+F439)+G439)*Escalation!$B$4,0)</f>
        <v/>
      </c>
      <c r="Q439">
        <f>IF(K439="Y",(D439+C439*(E439+F439)+G439)*Escalation!$B$5,0)</f>
        <v/>
      </c>
      <c r="R439">
        <f>IF(L439="Y",(D439+C439*(E439+F439)+G439)*Escalation!$B$6,0)</f>
        <v/>
      </c>
      <c r="S439">
        <f>IF(M439="Y",(D439+C439*(E439+F439)+G439)*Escalation!$B$7,0)</f>
        <v/>
      </c>
      <c r="T439">
        <f>SUM(N439:S439)</f>
        <v/>
      </c>
    </row>
    <row r="440">
      <c r="N440">
        <f>IF(H440="Y",(D440+C440*(E440+F440)+G440)*Escalation!$B$2,0)</f>
        <v/>
      </c>
      <c r="O440">
        <f>IF(I440="Y",(D440+C440*(E440+F440)+G440)*Escalation!$B$3,0)</f>
        <v/>
      </c>
      <c r="P440">
        <f>IF(J440="Y",(D440+C440*(E440+F440)+G440)*Escalation!$B$4,0)</f>
        <v/>
      </c>
      <c r="Q440">
        <f>IF(K440="Y",(D440+C440*(E440+F440)+G440)*Escalation!$B$5,0)</f>
        <v/>
      </c>
      <c r="R440">
        <f>IF(L440="Y",(D440+C440*(E440+F440)+G440)*Escalation!$B$6,0)</f>
        <v/>
      </c>
      <c r="S440">
        <f>IF(M440="Y",(D440+C440*(E440+F440)+G440)*Escalation!$B$7,0)</f>
        <v/>
      </c>
      <c r="T440">
        <f>SUM(N440:S440)</f>
        <v/>
      </c>
    </row>
    <row r="441">
      <c r="N441">
        <f>IF(H441="Y",(D441+C441*(E441+F441)+G441)*Escalation!$B$2,0)</f>
        <v/>
      </c>
      <c r="O441">
        <f>IF(I441="Y",(D441+C441*(E441+F441)+G441)*Escalation!$B$3,0)</f>
        <v/>
      </c>
      <c r="P441">
        <f>IF(J441="Y",(D441+C441*(E441+F441)+G441)*Escalation!$B$4,0)</f>
        <v/>
      </c>
      <c r="Q441">
        <f>IF(K441="Y",(D441+C441*(E441+F441)+G441)*Escalation!$B$5,0)</f>
        <v/>
      </c>
      <c r="R441">
        <f>IF(L441="Y",(D441+C441*(E441+F441)+G441)*Escalation!$B$6,0)</f>
        <v/>
      </c>
      <c r="S441">
        <f>IF(M441="Y",(D441+C441*(E441+F441)+G441)*Escalation!$B$7,0)</f>
        <v/>
      </c>
      <c r="T441">
        <f>SUM(N441:S441)</f>
        <v/>
      </c>
    </row>
    <row r="442">
      <c r="N442">
        <f>IF(H442="Y",(D442+C442*(E442+F442)+G442)*Escalation!$B$2,0)</f>
        <v/>
      </c>
      <c r="O442">
        <f>IF(I442="Y",(D442+C442*(E442+F442)+G442)*Escalation!$B$3,0)</f>
        <v/>
      </c>
      <c r="P442">
        <f>IF(J442="Y",(D442+C442*(E442+F442)+G442)*Escalation!$B$4,0)</f>
        <v/>
      </c>
      <c r="Q442">
        <f>IF(K442="Y",(D442+C442*(E442+F442)+G442)*Escalation!$B$5,0)</f>
        <v/>
      </c>
      <c r="R442">
        <f>IF(L442="Y",(D442+C442*(E442+F442)+G442)*Escalation!$B$6,0)</f>
        <v/>
      </c>
      <c r="S442">
        <f>IF(M442="Y",(D442+C442*(E442+F442)+G442)*Escalation!$B$7,0)</f>
        <v/>
      </c>
      <c r="T442">
        <f>SUM(N442:S442)</f>
        <v/>
      </c>
    </row>
    <row r="443">
      <c r="N443">
        <f>IF(H443="Y",(D443+C443*(E443+F443)+G443)*Escalation!$B$2,0)</f>
        <v/>
      </c>
      <c r="O443">
        <f>IF(I443="Y",(D443+C443*(E443+F443)+G443)*Escalation!$B$3,0)</f>
        <v/>
      </c>
      <c r="P443">
        <f>IF(J443="Y",(D443+C443*(E443+F443)+G443)*Escalation!$B$4,0)</f>
        <v/>
      </c>
      <c r="Q443">
        <f>IF(K443="Y",(D443+C443*(E443+F443)+G443)*Escalation!$B$5,0)</f>
        <v/>
      </c>
      <c r="R443">
        <f>IF(L443="Y",(D443+C443*(E443+F443)+G443)*Escalation!$B$6,0)</f>
        <v/>
      </c>
      <c r="S443">
        <f>IF(M443="Y",(D443+C443*(E443+F443)+G443)*Escalation!$B$7,0)</f>
        <v/>
      </c>
      <c r="T443">
        <f>SUM(N443:S443)</f>
        <v/>
      </c>
    </row>
    <row r="444">
      <c r="N444">
        <f>IF(H444="Y",(D444+C444*(E444+F444)+G444)*Escalation!$B$2,0)</f>
        <v/>
      </c>
      <c r="O444">
        <f>IF(I444="Y",(D444+C444*(E444+F444)+G444)*Escalation!$B$3,0)</f>
        <v/>
      </c>
      <c r="P444">
        <f>IF(J444="Y",(D444+C444*(E444+F444)+G444)*Escalation!$B$4,0)</f>
        <v/>
      </c>
      <c r="Q444">
        <f>IF(K444="Y",(D444+C444*(E444+F444)+G444)*Escalation!$B$5,0)</f>
        <v/>
      </c>
      <c r="R444">
        <f>IF(L444="Y",(D444+C444*(E444+F444)+G444)*Escalation!$B$6,0)</f>
        <v/>
      </c>
      <c r="S444">
        <f>IF(M444="Y",(D444+C444*(E444+F444)+G444)*Escalation!$B$7,0)</f>
        <v/>
      </c>
      <c r="T444">
        <f>SUM(N444:S444)</f>
        <v/>
      </c>
    </row>
    <row r="445">
      <c r="N445">
        <f>IF(H445="Y",(D445+C445*(E445+F445)+G445)*Escalation!$B$2,0)</f>
        <v/>
      </c>
      <c r="O445">
        <f>IF(I445="Y",(D445+C445*(E445+F445)+G445)*Escalation!$B$3,0)</f>
        <v/>
      </c>
      <c r="P445">
        <f>IF(J445="Y",(D445+C445*(E445+F445)+G445)*Escalation!$B$4,0)</f>
        <v/>
      </c>
      <c r="Q445">
        <f>IF(K445="Y",(D445+C445*(E445+F445)+G445)*Escalation!$B$5,0)</f>
        <v/>
      </c>
      <c r="R445">
        <f>IF(L445="Y",(D445+C445*(E445+F445)+G445)*Escalation!$B$6,0)</f>
        <v/>
      </c>
      <c r="S445">
        <f>IF(M445="Y",(D445+C445*(E445+F445)+G445)*Escalation!$B$7,0)</f>
        <v/>
      </c>
      <c r="T445">
        <f>SUM(N445:S445)</f>
        <v/>
      </c>
    </row>
    <row r="446">
      <c r="N446">
        <f>IF(H446="Y",(D446+C446*(E446+F446)+G446)*Escalation!$B$2,0)</f>
        <v/>
      </c>
      <c r="O446">
        <f>IF(I446="Y",(D446+C446*(E446+F446)+G446)*Escalation!$B$3,0)</f>
        <v/>
      </c>
      <c r="P446">
        <f>IF(J446="Y",(D446+C446*(E446+F446)+G446)*Escalation!$B$4,0)</f>
        <v/>
      </c>
      <c r="Q446">
        <f>IF(K446="Y",(D446+C446*(E446+F446)+G446)*Escalation!$B$5,0)</f>
        <v/>
      </c>
      <c r="R446">
        <f>IF(L446="Y",(D446+C446*(E446+F446)+G446)*Escalation!$B$6,0)</f>
        <v/>
      </c>
      <c r="S446">
        <f>IF(M446="Y",(D446+C446*(E446+F446)+G446)*Escalation!$B$7,0)</f>
        <v/>
      </c>
      <c r="T446">
        <f>SUM(N446:S446)</f>
        <v/>
      </c>
    </row>
    <row r="447">
      <c r="N447">
        <f>IF(H447="Y",(D447+C447*(E447+F447)+G447)*Escalation!$B$2,0)</f>
        <v/>
      </c>
      <c r="O447">
        <f>IF(I447="Y",(D447+C447*(E447+F447)+G447)*Escalation!$B$3,0)</f>
        <v/>
      </c>
      <c r="P447">
        <f>IF(J447="Y",(D447+C447*(E447+F447)+G447)*Escalation!$B$4,0)</f>
        <v/>
      </c>
      <c r="Q447">
        <f>IF(K447="Y",(D447+C447*(E447+F447)+G447)*Escalation!$B$5,0)</f>
        <v/>
      </c>
      <c r="R447">
        <f>IF(L447="Y",(D447+C447*(E447+F447)+G447)*Escalation!$B$6,0)</f>
        <v/>
      </c>
      <c r="S447">
        <f>IF(M447="Y",(D447+C447*(E447+F447)+G447)*Escalation!$B$7,0)</f>
        <v/>
      </c>
      <c r="T447">
        <f>SUM(N447:S447)</f>
        <v/>
      </c>
    </row>
    <row r="448">
      <c r="N448">
        <f>IF(H448="Y",(D448+C448*(E448+F448)+G448)*Escalation!$B$2,0)</f>
        <v/>
      </c>
      <c r="O448">
        <f>IF(I448="Y",(D448+C448*(E448+F448)+G448)*Escalation!$B$3,0)</f>
        <v/>
      </c>
      <c r="P448">
        <f>IF(J448="Y",(D448+C448*(E448+F448)+G448)*Escalation!$B$4,0)</f>
        <v/>
      </c>
      <c r="Q448">
        <f>IF(K448="Y",(D448+C448*(E448+F448)+G448)*Escalation!$B$5,0)</f>
        <v/>
      </c>
      <c r="R448">
        <f>IF(L448="Y",(D448+C448*(E448+F448)+G448)*Escalation!$B$6,0)</f>
        <v/>
      </c>
      <c r="S448">
        <f>IF(M448="Y",(D448+C448*(E448+F448)+G448)*Escalation!$B$7,0)</f>
        <v/>
      </c>
      <c r="T448">
        <f>SUM(N448:S448)</f>
        <v/>
      </c>
    </row>
    <row r="449">
      <c r="N449">
        <f>IF(H449="Y",(D449+C449*(E449+F449)+G449)*Escalation!$B$2,0)</f>
        <v/>
      </c>
      <c r="O449">
        <f>IF(I449="Y",(D449+C449*(E449+F449)+G449)*Escalation!$B$3,0)</f>
        <v/>
      </c>
      <c r="P449">
        <f>IF(J449="Y",(D449+C449*(E449+F449)+G449)*Escalation!$B$4,0)</f>
        <v/>
      </c>
      <c r="Q449">
        <f>IF(K449="Y",(D449+C449*(E449+F449)+G449)*Escalation!$B$5,0)</f>
        <v/>
      </c>
      <c r="R449">
        <f>IF(L449="Y",(D449+C449*(E449+F449)+G449)*Escalation!$B$6,0)</f>
        <v/>
      </c>
      <c r="S449">
        <f>IF(M449="Y",(D449+C449*(E449+F449)+G449)*Escalation!$B$7,0)</f>
        <v/>
      </c>
      <c r="T449">
        <f>SUM(N449:S449)</f>
        <v/>
      </c>
    </row>
    <row r="450">
      <c r="N450">
        <f>IF(H450="Y",(D450+C450*(E450+F450)+G450)*Escalation!$B$2,0)</f>
        <v/>
      </c>
      <c r="O450">
        <f>IF(I450="Y",(D450+C450*(E450+F450)+G450)*Escalation!$B$3,0)</f>
        <v/>
      </c>
      <c r="P450">
        <f>IF(J450="Y",(D450+C450*(E450+F450)+G450)*Escalation!$B$4,0)</f>
        <v/>
      </c>
      <c r="Q450">
        <f>IF(K450="Y",(D450+C450*(E450+F450)+G450)*Escalation!$B$5,0)</f>
        <v/>
      </c>
      <c r="R450">
        <f>IF(L450="Y",(D450+C450*(E450+F450)+G450)*Escalation!$B$6,0)</f>
        <v/>
      </c>
      <c r="S450">
        <f>IF(M450="Y",(D450+C450*(E450+F450)+G450)*Escalation!$B$7,0)</f>
        <v/>
      </c>
      <c r="T450">
        <f>SUM(N450:S450)</f>
        <v/>
      </c>
    </row>
    <row r="451">
      <c r="N451">
        <f>IF(H451="Y",(D451+C451*(E451+F451)+G451)*Escalation!$B$2,0)</f>
        <v/>
      </c>
      <c r="O451">
        <f>IF(I451="Y",(D451+C451*(E451+F451)+G451)*Escalation!$B$3,0)</f>
        <v/>
      </c>
      <c r="P451">
        <f>IF(J451="Y",(D451+C451*(E451+F451)+G451)*Escalation!$B$4,0)</f>
        <v/>
      </c>
      <c r="Q451">
        <f>IF(K451="Y",(D451+C451*(E451+F451)+G451)*Escalation!$B$5,0)</f>
        <v/>
      </c>
      <c r="R451">
        <f>IF(L451="Y",(D451+C451*(E451+F451)+G451)*Escalation!$B$6,0)</f>
        <v/>
      </c>
      <c r="S451">
        <f>IF(M451="Y",(D451+C451*(E451+F451)+G451)*Escalation!$B$7,0)</f>
        <v/>
      </c>
      <c r="T451">
        <f>SUM(N451:S451)</f>
        <v/>
      </c>
    </row>
    <row r="452">
      <c r="N452">
        <f>IF(H452="Y",(D452+C452*(E452+F452)+G452)*Escalation!$B$2,0)</f>
        <v/>
      </c>
      <c r="O452">
        <f>IF(I452="Y",(D452+C452*(E452+F452)+G452)*Escalation!$B$3,0)</f>
        <v/>
      </c>
      <c r="P452">
        <f>IF(J452="Y",(D452+C452*(E452+F452)+G452)*Escalation!$B$4,0)</f>
        <v/>
      </c>
      <c r="Q452">
        <f>IF(K452="Y",(D452+C452*(E452+F452)+G452)*Escalation!$B$5,0)</f>
        <v/>
      </c>
      <c r="R452">
        <f>IF(L452="Y",(D452+C452*(E452+F452)+G452)*Escalation!$B$6,0)</f>
        <v/>
      </c>
      <c r="S452">
        <f>IF(M452="Y",(D452+C452*(E452+F452)+G452)*Escalation!$B$7,0)</f>
        <v/>
      </c>
      <c r="T452">
        <f>SUM(N452:S452)</f>
        <v/>
      </c>
    </row>
    <row r="453">
      <c r="N453">
        <f>IF(H453="Y",(D453+C453*(E453+F453)+G453)*Escalation!$B$2,0)</f>
        <v/>
      </c>
      <c r="O453">
        <f>IF(I453="Y",(D453+C453*(E453+F453)+G453)*Escalation!$B$3,0)</f>
        <v/>
      </c>
      <c r="P453">
        <f>IF(J453="Y",(D453+C453*(E453+F453)+G453)*Escalation!$B$4,0)</f>
        <v/>
      </c>
      <c r="Q453">
        <f>IF(K453="Y",(D453+C453*(E453+F453)+G453)*Escalation!$B$5,0)</f>
        <v/>
      </c>
      <c r="R453">
        <f>IF(L453="Y",(D453+C453*(E453+F453)+G453)*Escalation!$B$6,0)</f>
        <v/>
      </c>
      <c r="S453">
        <f>IF(M453="Y",(D453+C453*(E453+F453)+G453)*Escalation!$B$7,0)</f>
        <v/>
      </c>
      <c r="T453">
        <f>SUM(N453:S453)</f>
        <v/>
      </c>
    </row>
    <row r="454">
      <c r="N454">
        <f>IF(H454="Y",(D454+C454*(E454+F454)+G454)*Escalation!$B$2,0)</f>
        <v/>
      </c>
      <c r="O454">
        <f>IF(I454="Y",(D454+C454*(E454+F454)+G454)*Escalation!$B$3,0)</f>
        <v/>
      </c>
      <c r="P454">
        <f>IF(J454="Y",(D454+C454*(E454+F454)+G454)*Escalation!$B$4,0)</f>
        <v/>
      </c>
      <c r="Q454">
        <f>IF(K454="Y",(D454+C454*(E454+F454)+G454)*Escalation!$B$5,0)</f>
        <v/>
      </c>
      <c r="R454">
        <f>IF(L454="Y",(D454+C454*(E454+F454)+G454)*Escalation!$B$6,0)</f>
        <v/>
      </c>
      <c r="S454">
        <f>IF(M454="Y",(D454+C454*(E454+F454)+G454)*Escalation!$B$7,0)</f>
        <v/>
      </c>
      <c r="T454">
        <f>SUM(N454:S454)</f>
        <v/>
      </c>
    </row>
    <row r="455">
      <c r="N455">
        <f>IF(H455="Y",(D455+C455*(E455+F455)+G455)*Escalation!$B$2,0)</f>
        <v/>
      </c>
      <c r="O455">
        <f>IF(I455="Y",(D455+C455*(E455+F455)+G455)*Escalation!$B$3,0)</f>
        <v/>
      </c>
      <c r="P455">
        <f>IF(J455="Y",(D455+C455*(E455+F455)+G455)*Escalation!$B$4,0)</f>
        <v/>
      </c>
      <c r="Q455">
        <f>IF(K455="Y",(D455+C455*(E455+F455)+G455)*Escalation!$B$5,0)</f>
        <v/>
      </c>
      <c r="R455">
        <f>IF(L455="Y",(D455+C455*(E455+F455)+G455)*Escalation!$B$6,0)</f>
        <v/>
      </c>
      <c r="S455">
        <f>IF(M455="Y",(D455+C455*(E455+F455)+G455)*Escalation!$B$7,0)</f>
        <v/>
      </c>
      <c r="T455">
        <f>SUM(N455:S455)</f>
        <v/>
      </c>
    </row>
    <row r="456">
      <c r="N456">
        <f>IF(H456="Y",(D456+C456*(E456+F456)+G456)*Escalation!$B$2,0)</f>
        <v/>
      </c>
      <c r="O456">
        <f>IF(I456="Y",(D456+C456*(E456+F456)+G456)*Escalation!$B$3,0)</f>
        <v/>
      </c>
      <c r="P456">
        <f>IF(J456="Y",(D456+C456*(E456+F456)+G456)*Escalation!$B$4,0)</f>
        <v/>
      </c>
      <c r="Q456">
        <f>IF(K456="Y",(D456+C456*(E456+F456)+G456)*Escalation!$B$5,0)</f>
        <v/>
      </c>
      <c r="R456">
        <f>IF(L456="Y",(D456+C456*(E456+F456)+G456)*Escalation!$B$6,0)</f>
        <v/>
      </c>
      <c r="S456">
        <f>IF(M456="Y",(D456+C456*(E456+F456)+G456)*Escalation!$B$7,0)</f>
        <v/>
      </c>
      <c r="T456">
        <f>SUM(N456:S456)</f>
        <v/>
      </c>
    </row>
    <row r="457">
      <c r="N457">
        <f>IF(H457="Y",(D457+C457*(E457+F457)+G457)*Escalation!$B$2,0)</f>
        <v/>
      </c>
      <c r="O457">
        <f>IF(I457="Y",(D457+C457*(E457+F457)+G457)*Escalation!$B$3,0)</f>
        <v/>
      </c>
      <c r="P457">
        <f>IF(J457="Y",(D457+C457*(E457+F457)+G457)*Escalation!$B$4,0)</f>
        <v/>
      </c>
      <c r="Q457">
        <f>IF(K457="Y",(D457+C457*(E457+F457)+G457)*Escalation!$B$5,0)</f>
        <v/>
      </c>
      <c r="R457">
        <f>IF(L457="Y",(D457+C457*(E457+F457)+G457)*Escalation!$B$6,0)</f>
        <v/>
      </c>
      <c r="S457">
        <f>IF(M457="Y",(D457+C457*(E457+F457)+G457)*Escalation!$B$7,0)</f>
        <v/>
      </c>
      <c r="T457">
        <f>SUM(N457:S457)</f>
        <v/>
      </c>
    </row>
    <row r="458">
      <c r="N458">
        <f>IF(H458="Y",(D458+C458*(E458+F458)+G458)*Escalation!$B$2,0)</f>
        <v/>
      </c>
      <c r="O458">
        <f>IF(I458="Y",(D458+C458*(E458+F458)+G458)*Escalation!$B$3,0)</f>
        <v/>
      </c>
      <c r="P458">
        <f>IF(J458="Y",(D458+C458*(E458+F458)+G458)*Escalation!$B$4,0)</f>
        <v/>
      </c>
      <c r="Q458">
        <f>IF(K458="Y",(D458+C458*(E458+F458)+G458)*Escalation!$B$5,0)</f>
        <v/>
      </c>
      <c r="R458">
        <f>IF(L458="Y",(D458+C458*(E458+F458)+G458)*Escalation!$B$6,0)</f>
        <v/>
      </c>
      <c r="S458">
        <f>IF(M458="Y",(D458+C458*(E458+F458)+G458)*Escalation!$B$7,0)</f>
        <v/>
      </c>
      <c r="T458">
        <f>SUM(N458:S458)</f>
        <v/>
      </c>
    </row>
    <row r="459">
      <c r="N459">
        <f>IF(H459="Y",(D459+C459*(E459+F459)+G459)*Escalation!$B$2,0)</f>
        <v/>
      </c>
      <c r="O459">
        <f>IF(I459="Y",(D459+C459*(E459+F459)+G459)*Escalation!$B$3,0)</f>
        <v/>
      </c>
      <c r="P459">
        <f>IF(J459="Y",(D459+C459*(E459+F459)+G459)*Escalation!$B$4,0)</f>
        <v/>
      </c>
      <c r="Q459">
        <f>IF(K459="Y",(D459+C459*(E459+F459)+G459)*Escalation!$B$5,0)</f>
        <v/>
      </c>
      <c r="R459">
        <f>IF(L459="Y",(D459+C459*(E459+F459)+G459)*Escalation!$B$6,0)</f>
        <v/>
      </c>
      <c r="S459">
        <f>IF(M459="Y",(D459+C459*(E459+F459)+G459)*Escalation!$B$7,0)</f>
        <v/>
      </c>
      <c r="T459">
        <f>SUM(N459:S459)</f>
        <v/>
      </c>
    </row>
    <row r="460">
      <c r="N460">
        <f>IF(H460="Y",(D460+C460*(E460+F460)+G460)*Escalation!$B$2,0)</f>
        <v/>
      </c>
      <c r="O460">
        <f>IF(I460="Y",(D460+C460*(E460+F460)+G460)*Escalation!$B$3,0)</f>
        <v/>
      </c>
      <c r="P460">
        <f>IF(J460="Y",(D460+C460*(E460+F460)+G460)*Escalation!$B$4,0)</f>
        <v/>
      </c>
      <c r="Q460">
        <f>IF(K460="Y",(D460+C460*(E460+F460)+G460)*Escalation!$B$5,0)</f>
        <v/>
      </c>
      <c r="R460">
        <f>IF(L460="Y",(D460+C460*(E460+F460)+G460)*Escalation!$B$6,0)</f>
        <v/>
      </c>
      <c r="S460">
        <f>IF(M460="Y",(D460+C460*(E460+F460)+G460)*Escalation!$B$7,0)</f>
        <v/>
      </c>
      <c r="T460">
        <f>SUM(N460:S460)</f>
        <v/>
      </c>
    </row>
    <row r="461">
      <c r="N461">
        <f>IF(H461="Y",(D461+C461*(E461+F461)+G461)*Escalation!$B$2,0)</f>
        <v/>
      </c>
      <c r="O461">
        <f>IF(I461="Y",(D461+C461*(E461+F461)+G461)*Escalation!$B$3,0)</f>
        <v/>
      </c>
      <c r="P461">
        <f>IF(J461="Y",(D461+C461*(E461+F461)+G461)*Escalation!$B$4,0)</f>
        <v/>
      </c>
      <c r="Q461">
        <f>IF(K461="Y",(D461+C461*(E461+F461)+G461)*Escalation!$B$5,0)</f>
        <v/>
      </c>
      <c r="R461">
        <f>IF(L461="Y",(D461+C461*(E461+F461)+G461)*Escalation!$B$6,0)</f>
        <v/>
      </c>
      <c r="S461">
        <f>IF(M461="Y",(D461+C461*(E461+F461)+G461)*Escalation!$B$7,0)</f>
        <v/>
      </c>
      <c r="T461">
        <f>SUM(N461:S461)</f>
        <v/>
      </c>
    </row>
    <row r="462">
      <c r="N462">
        <f>IF(H462="Y",(D462+C462*(E462+F462)+G462)*Escalation!$B$2,0)</f>
        <v/>
      </c>
      <c r="O462">
        <f>IF(I462="Y",(D462+C462*(E462+F462)+G462)*Escalation!$B$3,0)</f>
        <v/>
      </c>
      <c r="P462">
        <f>IF(J462="Y",(D462+C462*(E462+F462)+G462)*Escalation!$B$4,0)</f>
        <v/>
      </c>
      <c r="Q462">
        <f>IF(K462="Y",(D462+C462*(E462+F462)+G462)*Escalation!$B$5,0)</f>
        <v/>
      </c>
      <c r="R462">
        <f>IF(L462="Y",(D462+C462*(E462+F462)+G462)*Escalation!$B$6,0)</f>
        <v/>
      </c>
      <c r="S462">
        <f>IF(M462="Y",(D462+C462*(E462+F462)+G462)*Escalation!$B$7,0)</f>
        <v/>
      </c>
      <c r="T462">
        <f>SUM(N462:S462)</f>
        <v/>
      </c>
    </row>
    <row r="463">
      <c r="N463">
        <f>IF(H463="Y",(D463+C463*(E463+F463)+G463)*Escalation!$B$2,0)</f>
        <v/>
      </c>
      <c r="O463">
        <f>IF(I463="Y",(D463+C463*(E463+F463)+G463)*Escalation!$B$3,0)</f>
        <v/>
      </c>
      <c r="P463">
        <f>IF(J463="Y",(D463+C463*(E463+F463)+G463)*Escalation!$B$4,0)</f>
        <v/>
      </c>
      <c r="Q463">
        <f>IF(K463="Y",(D463+C463*(E463+F463)+G463)*Escalation!$B$5,0)</f>
        <v/>
      </c>
      <c r="R463">
        <f>IF(L463="Y",(D463+C463*(E463+F463)+G463)*Escalation!$B$6,0)</f>
        <v/>
      </c>
      <c r="S463">
        <f>IF(M463="Y",(D463+C463*(E463+F463)+G463)*Escalation!$B$7,0)</f>
        <v/>
      </c>
      <c r="T463">
        <f>SUM(N463:S463)</f>
        <v/>
      </c>
    </row>
    <row r="464">
      <c r="N464">
        <f>IF(H464="Y",(D464+C464*(E464+F464)+G464)*Escalation!$B$2,0)</f>
        <v/>
      </c>
      <c r="O464">
        <f>IF(I464="Y",(D464+C464*(E464+F464)+G464)*Escalation!$B$3,0)</f>
        <v/>
      </c>
      <c r="P464">
        <f>IF(J464="Y",(D464+C464*(E464+F464)+G464)*Escalation!$B$4,0)</f>
        <v/>
      </c>
      <c r="Q464">
        <f>IF(K464="Y",(D464+C464*(E464+F464)+G464)*Escalation!$B$5,0)</f>
        <v/>
      </c>
      <c r="R464">
        <f>IF(L464="Y",(D464+C464*(E464+F464)+G464)*Escalation!$B$6,0)</f>
        <v/>
      </c>
      <c r="S464">
        <f>IF(M464="Y",(D464+C464*(E464+F464)+G464)*Escalation!$B$7,0)</f>
        <v/>
      </c>
      <c r="T464">
        <f>SUM(N464:S464)</f>
        <v/>
      </c>
    </row>
    <row r="465">
      <c r="N465">
        <f>IF(H465="Y",(D465+C465*(E465+F465)+G465)*Escalation!$B$2,0)</f>
        <v/>
      </c>
      <c r="O465">
        <f>IF(I465="Y",(D465+C465*(E465+F465)+G465)*Escalation!$B$3,0)</f>
        <v/>
      </c>
      <c r="P465">
        <f>IF(J465="Y",(D465+C465*(E465+F465)+G465)*Escalation!$B$4,0)</f>
        <v/>
      </c>
      <c r="Q465">
        <f>IF(K465="Y",(D465+C465*(E465+F465)+G465)*Escalation!$B$5,0)</f>
        <v/>
      </c>
      <c r="R465">
        <f>IF(L465="Y",(D465+C465*(E465+F465)+G465)*Escalation!$B$6,0)</f>
        <v/>
      </c>
      <c r="S465">
        <f>IF(M465="Y",(D465+C465*(E465+F465)+G465)*Escalation!$B$7,0)</f>
        <v/>
      </c>
      <c r="T465">
        <f>SUM(N465:S465)</f>
        <v/>
      </c>
    </row>
    <row r="466">
      <c r="N466">
        <f>IF(H466="Y",(D466+C466*(E466+F466)+G466)*Escalation!$B$2,0)</f>
        <v/>
      </c>
      <c r="O466">
        <f>IF(I466="Y",(D466+C466*(E466+F466)+G466)*Escalation!$B$3,0)</f>
        <v/>
      </c>
      <c r="P466">
        <f>IF(J466="Y",(D466+C466*(E466+F466)+G466)*Escalation!$B$4,0)</f>
        <v/>
      </c>
      <c r="Q466">
        <f>IF(K466="Y",(D466+C466*(E466+F466)+G466)*Escalation!$B$5,0)</f>
        <v/>
      </c>
      <c r="R466">
        <f>IF(L466="Y",(D466+C466*(E466+F466)+G466)*Escalation!$B$6,0)</f>
        <v/>
      </c>
      <c r="S466">
        <f>IF(M466="Y",(D466+C466*(E466+F466)+G466)*Escalation!$B$7,0)</f>
        <v/>
      </c>
      <c r="T466">
        <f>SUM(N466:S466)</f>
        <v/>
      </c>
    </row>
    <row r="467">
      <c r="N467">
        <f>IF(H467="Y",(D467+C467*(E467+F467)+G467)*Escalation!$B$2,0)</f>
        <v/>
      </c>
      <c r="O467">
        <f>IF(I467="Y",(D467+C467*(E467+F467)+G467)*Escalation!$B$3,0)</f>
        <v/>
      </c>
      <c r="P467">
        <f>IF(J467="Y",(D467+C467*(E467+F467)+G467)*Escalation!$B$4,0)</f>
        <v/>
      </c>
      <c r="Q467">
        <f>IF(K467="Y",(D467+C467*(E467+F467)+G467)*Escalation!$B$5,0)</f>
        <v/>
      </c>
      <c r="R467">
        <f>IF(L467="Y",(D467+C467*(E467+F467)+G467)*Escalation!$B$6,0)</f>
        <v/>
      </c>
      <c r="S467">
        <f>IF(M467="Y",(D467+C467*(E467+F467)+G467)*Escalation!$B$7,0)</f>
        <v/>
      </c>
      <c r="T467">
        <f>SUM(N467:S467)</f>
        <v/>
      </c>
    </row>
    <row r="468">
      <c r="N468">
        <f>IF(H468="Y",(D468+C468*(E468+F468)+G468)*Escalation!$B$2,0)</f>
        <v/>
      </c>
      <c r="O468">
        <f>IF(I468="Y",(D468+C468*(E468+F468)+G468)*Escalation!$B$3,0)</f>
        <v/>
      </c>
      <c r="P468">
        <f>IF(J468="Y",(D468+C468*(E468+F468)+G468)*Escalation!$B$4,0)</f>
        <v/>
      </c>
      <c r="Q468">
        <f>IF(K468="Y",(D468+C468*(E468+F468)+G468)*Escalation!$B$5,0)</f>
        <v/>
      </c>
      <c r="R468">
        <f>IF(L468="Y",(D468+C468*(E468+F468)+G468)*Escalation!$B$6,0)</f>
        <v/>
      </c>
      <c r="S468">
        <f>IF(M468="Y",(D468+C468*(E468+F468)+G468)*Escalation!$B$7,0)</f>
        <v/>
      </c>
      <c r="T468">
        <f>SUM(N468:S468)</f>
        <v/>
      </c>
    </row>
    <row r="469">
      <c r="N469">
        <f>IF(H469="Y",(D469+C469*(E469+F469)+G469)*Escalation!$B$2,0)</f>
        <v/>
      </c>
      <c r="O469">
        <f>IF(I469="Y",(D469+C469*(E469+F469)+G469)*Escalation!$B$3,0)</f>
        <v/>
      </c>
      <c r="P469">
        <f>IF(J469="Y",(D469+C469*(E469+F469)+G469)*Escalation!$B$4,0)</f>
        <v/>
      </c>
      <c r="Q469">
        <f>IF(K469="Y",(D469+C469*(E469+F469)+G469)*Escalation!$B$5,0)</f>
        <v/>
      </c>
      <c r="R469">
        <f>IF(L469="Y",(D469+C469*(E469+F469)+G469)*Escalation!$B$6,0)</f>
        <v/>
      </c>
      <c r="S469">
        <f>IF(M469="Y",(D469+C469*(E469+F469)+G469)*Escalation!$B$7,0)</f>
        <v/>
      </c>
      <c r="T469">
        <f>SUM(N469:S469)</f>
        <v/>
      </c>
    </row>
    <row r="470">
      <c r="N470">
        <f>IF(H470="Y",(D470+C470*(E470+F470)+G470)*Escalation!$B$2,0)</f>
        <v/>
      </c>
      <c r="O470">
        <f>IF(I470="Y",(D470+C470*(E470+F470)+G470)*Escalation!$B$3,0)</f>
        <v/>
      </c>
      <c r="P470">
        <f>IF(J470="Y",(D470+C470*(E470+F470)+G470)*Escalation!$B$4,0)</f>
        <v/>
      </c>
      <c r="Q470">
        <f>IF(K470="Y",(D470+C470*(E470+F470)+G470)*Escalation!$B$5,0)</f>
        <v/>
      </c>
      <c r="R470">
        <f>IF(L470="Y",(D470+C470*(E470+F470)+G470)*Escalation!$B$6,0)</f>
        <v/>
      </c>
      <c r="S470">
        <f>IF(M470="Y",(D470+C470*(E470+F470)+G470)*Escalation!$B$7,0)</f>
        <v/>
      </c>
      <c r="T470">
        <f>SUM(N470:S470)</f>
        <v/>
      </c>
    </row>
    <row r="471">
      <c r="N471">
        <f>IF(H471="Y",(D471+C471*(E471+F471)+G471)*Escalation!$B$2,0)</f>
        <v/>
      </c>
      <c r="O471">
        <f>IF(I471="Y",(D471+C471*(E471+F471)+G471)*Escalation!$B$3,0)</f>
        <v/>
      </c>
      <c r="P471">
        <f>IF(J471="Y",(D471+C471*(E471+F471)+G471)*Escalation!$B$4,0)</f>
        <v/>
      </c>
      <c r="Q471">
        <f>IF(K471="Y",(D471+C471*(E471+F471)+G471)*Escalation!$B$5,0)</f>
        <v/>
      </c>
      <c r="R471">
        <f>IF(L471="Y",(D471+C471*(E471+F471)+G471)*Escalation!$B$6,0)</f>
        <v/>
      </c>
      <c r="S471">
        <f>IF(M471="Y",(D471+C471*(E471+F471)+G471)*Escalation!$B$7,0)</f>
        <v/>
      </c>
      <c r="T471">
        <f>SUM(N471:S471)</f>
        <v/>
      </c>
    </row>
    <row r="472">
      <c r="N472">
        <f>IF(H472="Y",(D472+C472*(E472+F472)+G472)*Escalation!$B$2,0)</f>
        <v/>
      </c>
      <c r="O472">
        <f>IF(I472="Y",(D472+C472*(E472+F472)+G472)*Escalation!$B$3,0)</f>
        <v/>
      </c>
      <c r="P472">
        <f>IF(J472="Y",(D472+C472*(E472+F472)+G472)*Escalation!$B$4,0)</f>
        <v/>
      </c>
      <c r="Q472">
        <f>IF(K472="Y",(D472+C472*(E472+F472)+G472)*Escalation!$B$5,0)</f>
        <v/>
      </c>
      <c r="R472">
        <f>IF(L472="Y",(D472+C472*(E472+F472)+G472)*Escalation!$B$6,0)</f>
        <v/>
      </c>
      <c r="S472">
        <f>IF(M472="Y",(D472+C472*(E472+F472)+G472)*Escalation!$B$7,0)</f>
        <v/>
      </c>
      <c r="T472">
        <f>SUM(N472:S472)</f>
        <v/>
      </c>
    </row>
    <row r="473">
      <c r="N473">
        <f>IF(H473="Y",(D473+C473*(E473+F473)+G473)*Escalation!$B$2,0)</f>
        <v/>
      </c>
      <c r="O473">
        <f>IF(I473="Y",(D473+C473*(E473+F473)+G473)*Escalation!$B$3,0)</f>
        <v/>
      </c>
      <c r="P473">
        <f>IF(J473="Y",(D473+C473*(E473+F473)+G473)*Escalation!$B$4,0)</f>
        <v/>
      </c>
      <c r="Q473">
        <f>IF(K473="Y",(D473+C473*(E473+F473)+G473)*Escalation!$B$5,0)</f>
        <v/>
      </c>
      <c r="R473">
        <f>IF(L473="Y",(D473+C473*(E473+F473)+G473)*Escalation!$B$6,0)</f>
        <v/>
      </c>
      <c r="S473">
        <f>IF(M473="Y",(D473+C473*(E473+F473)+G473)*Escalation!$B$7,0)</f>
        <v/>
      </c>
      <c r="T473">
        <f>SUM(N473:S473)</f>
        <v/>
      </c>
    </row>
    <row r="474">
      <c r="N474">
        <f>IF(H474="Y",(D474+C474*(E474+F474)+G474)*Escalation!$B$2,0)</f>
        <v/>
      </c>
      <c r="O474">
        <f>IF(I474="Y",(D474+C474*(E474+F474)+G474)*Escalation!$B$3,0)</f>
        <v/>
      </c>
      <c r="P474">
        <f>IF(J474="Y",(D474+C474*(E474+F474)+G474)*Escalation!$B$4,0)</f>
        <v/>
      </c>
      <c r="Q474">
        <f>IF(K474="Y",(D474+C474*(E474+F474)+G474)*Escalation!$B$5,0)</f>
        <v/>
      </c>
      <c r="R474">
        <f>IF(L474="Y",(D474+C474*(E474+F474)+G474)*Escalation!$B$6,0)</f>
        <v/>
      </c>
      <c r="S474">
        <f>IF(M474="Y",(D474+C474*(E474+F474)+G474)*Escalation!$B$7,0)</f>
        <v/>
      </c>
      <c r="T474">
        <f>SUM(N474:S474)</f>
        <v/>
      </c>
    </row>
    <row r="475">
      <c r="N475">
        <f>IF(H475="Y",(D475+C475*(E475+F475)+G475)*Escalation!$B$2,0)</f>
        <v/>
      </c>
      <c r="O475">
        <f>IF(I475="Y",(D475+C475*(E475+F475)+G475)*Escalation!$B$3,0)</f>
        <v/>
      </c>
      <c r="P475">
        <f>IF(J475="Y",(D475+C475*(E475+F475)+G475)*Escalation!$B$4,0)</f>
        <v/>
      </c>
      <c r="Q475">
        <f>IF(K475="Y",(D475+C475*(E475+F475)+G475)*Escalation!$B$5,0)</f>
        <v/>
      </c>
      <c r="R475">
        <f>IF(L475="Y",(D475+C475*(E475+F475)+G475)*Escalation!$B$6,0)</f>
        <v/>
      </c>
      <c r="S475">
        <f>IF(M475="Y",(D475+C475*(E475+F475)+G475)*Escalation!$B$7,0)</f>
        <v/>
      </c>
      <c r="T475">
        <f>SUM(N475:S475)</f>
        <v/>
      </c>
    </row>
    <row r="476">
      <c r="N476">
        <f>IF(H476="Y",(D476+C476*(E476+F476)+G476)*Escalation!$B$2,0)</f>
        <v/>
      </c>
      <c r="O476">
        <f>IF(I476="Y",(D476+C476*(E476+F476)+G476)*Escalation!$B$3,0)</f>
        <v/>
      </c>
      <c r="P476">
        <f>IF(J476="Y",(D476+C476*(E476+F476)+G476)*Escalation!$B$4,0)</f>
        <v/>
      </c>
      <c r="Q476">
        <f>IF(K476="Y",(D476+C476*(E476+F476)+G476)*Escalation!$B$5,0)</f>
        <v/>
      </c>
      <c r="R476">
        <f>IF(L476="Y",(D476+C476*(E476+F476)+G476)*Escalation!$B$6,0)</f>
        <v/>
      </c>
      <c r="S476">
        <f>IF(M476="Y",(D476+C476*(E476+F476)+G476)*Escalation!$B$7,0)</f>
        <v/>
      </c>
      <c r="T476">
        <f>SUM(N476:S476)</f>
        <v/>
      </c>
    </row>
    <row r="477">
      <c r="N477">
        <f>IF(H477="Y",(D477+C477*(E477+F477)+G477)*Escalation!$B$2,0)</f>
        <v/>
      </c>
      <c r="O477">
        <f>IF(I477="Y",(D477+C477*(E477+F477)+G477)*Escalation!$B$3,0)</f>
        <v/>
      </c>
      <c r="P477">
        <f>IF(J477="Y",(D477+C477*(E477+F477)+G477)*Escalation!$B$4,0)</f>
        <v/>
      </c>
      <c r="Q477">
        <f>IF(K477="Y",(D477+C477*(E477+F477)+G477)*Escalation!$B$5,0)</f>
        <v/>
      </c>
      <c r="R477">
        <f>IF(L477="Y",(D477+C477*(E477+F477)+G477)*Escalation!$B$6,0)</f>
        <v/>
      </c>
      <c r="S477">
        <f>IF(M477="Y",(D477+C477*(E477+F477)+G477)*Escalation!$B$7,0)</f>
        <v/>
      </c>
      <c r="T477">
        <f>SUM(N477:S477)</f>
        <v/>
      </c>
    </row>
    <row r="478">
      <c r="N478">
        <f>IF(H478="Y",(D478+C478*(E478+F478)+G478)*Escalation!$B$2,0)</f>
        <v/>
      </c>
      <c r="O478">
        <f>IF(I478="Y",(D478+C478*(E478+F478)+G478)*Escalation!$B$3,0)</f>
        <v/>
      </c>
      <c r="P478">
        <f>IF(J478="Y",(D478+C478*(E478+F478)+G478)*Escalation!$B$4,0)</f>
        <v/>
      </c>
      <c r="Q478">
        <f>IF(K478="Y",(D478+C478*(E478+F478)+G478)*Escalation!$B$5,0)</f>
        <v/>
      </c>
      <c r="R478">
        <f>IF(L478="Y",(D478+C478*(E478+F478)+G478)*Escalation!$B$6,0)</f>
        <v/>
      </c>
      <c r="S478">
        <f>IF(M478="Y",(D478+C478*(E478+F478)+G478)*Escalation!$B$7,0)</f>
        <v/>
      </c>
      <c r="T478">
        <f>SUM(N478:S478)</f>
        <v/>
      </c>
    </row>
    <row r="479">
      <c r="N479">
        <f>IF(H479="Y",(D479+C479*(E479+F479)+G479)*Escalation!$B$2,0)</f>
        <v/>
      </c>
      <c r="O479">
        <f>IF(I479="Y",(D479+C479*(E479+F479)+G479)*Escalation!$B$3,0)</f>
        <v/>
      </c>
      <c r="P479">
        <f>IF(J479="Y",(D479+C479*(E479+F479)+G479)*Escalation!$B$4,0)</f>
        <v/>
      </c>
      <c r="Q479">
        <f>IF(K479="Y",(D479+C479*(E479+F479)+G479)*Escalation!$B$5,0)</f>
        <v/>
      </c>
      <c r="R479">
        <f>IF(L479="Y",(D479+C479*(E479+F479)+G479)*Escalation!$B$6,0)</f>
        <v/>
      </c>
      <c r="S479">
        <f>IF(M479="Y",(D479+C479*(E479+F479)+G479)*Escalation!$B$7,0)</f>
        <v/>
      </c>
      <c r="T479">
        <f>SUM(N479:S479)</f>
        <v/>
      </c>
    </row>
    <row r="480">
      <c r="N480">
        <f>IF(H480="Y",(D480+C480*(E480+F480)+G480)*Escalation!$B$2,0)</f>
        <v/>
      </c>
      <c r="O480">
        <f>IF(I480="Y",(D480+C480*(E480+F480)+G480)*Escalation!$B$3,0)</f>
        <v/>
      </c>
      <c r="P480">
        <f>IF(J480="Y",(D480+C480*(E480+F480)+G480)*Escalation!$B$4,0)</f>
        <v/>
      </c>
      <c r="Q480">
        <f>IF(K480="Y",(D480+C480*(E480+F480)+G480)*Escalation!$B$5,0)</f>
        <v/>
      </c>
      <c r="R480">
        <f>IF(L480="Y",(D480+C480*(E480+F480)+G480)*Escalation!$B$6,0)</f>
        <v/>
      </c>
      <c r="S480">
        <f>IF(M480="Y",(D480+C480*(E480+F480)+G480)*Escalation!$B$7,0)</f>
        <v/>
      </c>
      <c r="T480">
        <f>SUM(N480:S480)</f>
        <v/>
      </c>
    </row>
    <row r="481">
      <c r="N481">
        <f>IF(H481="Y",(D481+C481*(E481+F481)+G481)*Escalation!$B$2,0)</f>
        <v/>
      </c>
      <c r="O481">
        <f>IF(I481="Y",(D481+C481*(E481+F481)+G481)*Escalation!$B$3,0)</f>
        <v/>
      </c>
      <c r="P481">
        <f>IF(J481="Y",(D481+C481*(E481+F481)+G481)*Escalation!$B$4,0)</f>
        <v/>
      </c>
      <c r="Q481">
        <f>IF(K481="Y",(D481+C481*(E481+F481)+G481)*Escalation!$B$5,0)</f>
        <v/>
      </c>
      <c r="R481">
        <f>IF(L481="Y",(D481+C481*(E481+F481)+G481)*Escalation!$B$6,0)</f>
        <v/>
      </c>
      <c r="S481">
        <f>IF(M481="Y",(D481+C481*(E481+F481)+G481)*Escalation!$B$7,0)</f>
        <v/>
      </c>
      <c r="T481">
        <f>SUM(N481:S481)</f>
        <v/>
      </c>
    </row>
    <row r="482">
      <c r="N482">
        <f>IF(H482="Y",(D482+C482*(E482+F482)+G482)*Escalation!$B$2,0)</f>
        <v/>
      </c>
      <c r="O482">
        <f>IF(I482="Y",(D482+C482*(E482+F482)+G482)*Escalation!$B$3,0)</f>
        <v/>
      </c>
      <c r="P482">
        <f>IF(J482="Y",(D482+C482*(E482+F482)+G482)*Escalation!$B$4,0)</f>
        <v/>
      </c>
      <c r="Q482">
        <f>IF(K482="Y",(D482+C482*(E482+F482)+G482)*Escalation!$B$5,0)</f>
        <v/>
      </c>
      <c r="R482">
        <f>IF(L482="Y",(D482+C482*(E482+F482)+G482)*Escalation!$B$6,0)</f>
        <v/>
      </c>
      <c r="S482">
        <f>IF(M482="Y",(D482+C482*(E482+F482)+G482)*Escalation!$B$7,0)</f>
        <v/>
      </c>
      <c r="T482">
        <f>SUM(N482:S482)</f>
        <v/>
      </c>
    </row>
    <row r="483">
      <c r="N483">
        <f>IF(H483="Y",(D483+C483*(E483+F483)+G483)*Escalation!$B$2,0)</f>
        <v/>
      </c>
      <c r="O483">
        <f>IF(I483="Y",(D483+C483*(E483+F483)+G483)*Escalation!$B$3,0)</f>
        <v/>
      </c>
      <c r="P483">
        <f>IF(J483="Y",(D483+C483*(E483+F483)+G483)*Escalation!$B$4,0)</f>
        <v/>
      </c>
      <c r="Q483">
        <f>IF(K483="Y",(D483+C483*(E483+F483)+G483)*Escalation!$B$5,0)</f>
        <v/>
      </c>
      <c r="R483">
        <f>IF(L483="Y",(D483+C483*(E483+F483)+G483)*Escalation!$B$6,0)</f>
        <v/>
      </c>
      <c r="S483">
        <f>IF(M483="Y",(D483+C483*(E483+F483)+G483)*Escalation!$B$7,0)</f>
        <v/>
      </c>
      <c r="T483">
        <f>SUM(N483:S483)</f>
        <v/>
      </c>
    </row>
    <row r="484">
      <c r="N484">
        <f>IF(H484="Y",(D484+C484*(E484+F484)+G484)*Escalation!$B$2,0)</f>
        <v/>
      </c>
      <c r="O484">
        <f>IF(I484="Y",(D484+C484*(E484+F484)+G484)*Escalation!$B$3,0)</f>
        <v/>
      </c>
      <c r="P484">
        <f>IF(J484="Y",(D484+C484*(E484+F484)+G484)*Escalation!$B$4,0)</f>
        <v/>
      </c>
      <c r="Q484">
        <f>IF(K484="Y",(D484+C484*(E484+F484)+G484)*Escalation!$B$5,0)</f>
        <v/>
      </c>
      <c r="R484">
        <f>IF(L484="Y",(D484+C484*(E484+F484)+G484)*Escalation!$B$6,0)</f>
        <v/>
      </c>
      <c r="S484">
        <f>IF(M484="Y",(D484+C484*(E484+F484)+G484)*Escalation!$B$7,0)</f>
        <v/>
      </c>
      <c r="T484">
        <f>SUM(N484:S484)</f>
        <v/>
      </c>
    </row>
    <row r="485">
      <c r="N485">
        <f>IF(H485="Y",(D485+C485*(E485+F485)+G485)*Escalation!$B$2,0)</f>
        <v/>
      </c>
      <c r="O485">
        <f>IF(I485="Y",(D485+C485*(E485+F485)+G485)*Escalation!$B$3,0)</f>
        <v/>
      </c>
      <c r="P485">
        <f>IF(J485="Y",(D485+C485*(E485+F485)+G485)*Escalation!$B$4,0)</f>
        <v/>
      </c>
      <c r="Q485">
        <f>IF(K485="Y",(D485+C485*(E485+F485)+G485)*Escalation!$B$5,0)</f>
        <v/>
      </c>
      <c r="R485">
        <f>IF(L485="Y",(D485+C485*(E485+F485)+G485)*Escalation!$B$6,0)</f>
        <v/>
      </c>
      <c r="S485">
        <f>IF(M485="Y",(D485+C485*(E485+F485)+G485)*Escalation!$B$7,0)</f>
        <v/>
      </c>
      <c r="T485">
        <f>SUM(N485:S485)</f>
        <v/>
      </c>
    </row>
    <row r="486">
      <c r="N486">
        <f>IF(H486="Y",(D486+C486*(E486+F486)+G486)*Escalation!$B$2,0)</f>
        <v/>
      </c>
      <c r="O486">
        <f>IF(I486="Y",(D486+C486*(E486+F486)+G486)*Escalation!$B$3,0)</f>
        <v/>
      </c>
      <c r="P486">
        <f>IF(J486="Y",(D486+C486*(E486+F486)+G486)*Escalation!$B$4,0)</f>
        <v/>
      </c>
      <c r="Q486">
        <f>IF(K486="Y",(D486+C486*(E486+F486)+G486)*Escalation!$B$5,0)</f>
        <v/>
      </c>
      <c r="R486">
        <f>IF(L486="Y",(D486+C486*(E486+F486)+G486)*Escalation!$B$6,0)</f>
        <v/>
      </c>
      <c r="S486">
        <f>IF(M486="Y",(D486+C486*(E486+F486)+G486)*Escalation!$B$7,0)</f>
        <v/>
      </c>
      <c r="T486">
        <f>SUM(N486:S486)</f>
        <v/>
      </c>
    </row>
    <row r="487">
      <c r="N487">
        <f>IF(H487="Y",(D487+C487*(E487+F487)+G487)*Escalation!$B$2,0)</f>
        <v/>
      </c>
      <c r="O487">
        <f>IF(I487="Y",(D487+C487*(E487+F487)+G487)*Escalation!$B$3,0)</f>
        <v/>
      </c>
      <c r="P487">
        <f>IF(J487="Y",(D487+C487*(E487+F487)+G487)*Escalation!$B$4,0)</f>
        <v/>
      </c>
      <c r="Q487">
        <f>IF(K487="Y",(D487+C487*(E487+F487)+G487)*Escalation!$B$5,0)</f>
        <v/>
      </c>
      <c r="R487">
        <f>IF(L487="Y",(D487+C487*(E487+F487)+G487)*Escalation!$B$6,0)</f>
        <v/>
      </c>
      <c r="S487">
        <f>IF(M487="Y",(D487+C487*(E487+F487)+G487)*Escalation!$B$7,0)</f>
        <v/>
      </c>
      <c r="T487">
        <f>SUM(N487:S487)</f>
        <v/>
      </c>
    </row>
    <row r="488">
      <c r="N488">
        <f>IF(H488="Y",(D488+C488*(E488+F488)+G488)*Escalation!$B$2,0)</f>
        <v/>
      </c>
      <c r="O488">
        <f>IF(I488="Y",(D488+C488*(E488+F488)+G488)*Escalation!$B$3,0)</f>
        <v/>
      </c>
      <c r="P488">
        <f>IF(J488="Y",(D488+C488*(E488+F488)+G488)*Escalation!$B$4,0)</f>
        <v/>
      </c>
      <c r="Q488">
        <f>IF(K488="Y",(D488+C488*(E488+F488)+G488)*Escalation!$B$5,0)</f>
        <v/>
      </c>
      <c r="R488">
        <f>IF(L488="Y",(D488+C488*(E488+F488)+G488)*Escalation!$B$6,0)</f>
        <v/>
      </c>
      <c r="S488">
        <f>IF(M488="Y",(D488+C488*(E488+F488)+G488)*Escalation!$B$7,0)</f>
        <v/>
      </c>
      <c r="T488">
        <f>SUM(N488:S488)</f>
        <v/>
      </c>
    </row>
    <row r="489">
      <c r="N489">
        <f>IF(H489="Y",(D489+C489*(E489+F489)+G489)*Escalation!$B$2,0)</f>
        <v/>
      </c>
      <c r="O489">
        <f>IF(I489="Y",(D489+C489*(E489+F489)+G489)*Escalation!$B$3,0)</f>
        <v/>
      </c>
      <c r="P489">
        <f>IF(J489="Y",(D489+C489*(E489+F489)+G489)*Escalation!$B$4,0)</f>
        <v/>
      </c>
      <c r="Q489">
        <f>IF(K489="Y",(D489+C489*(E489+F489)+G489)*Escalation!$B$5,0)</f>
        <v/>
      </c>
      <c r="R489">
        <f>IF(L489="Y",(D489+C489*(E489+F489)+G489)*Escalation!$B$6,0)</f>
        <v/>
      </c>
      <c r="S489">
        <f>IF(M489="Y",(D489+C489*(E489+F489)+G489)*Escalation!$B$7,0)</f>
        <v/>
      </c>
      <c r="T489">
        <f>SUM(N489:S489)</f>
        <v/>
      </c>
    </row>
    <row r="490">
      <c r="N490">
        <f>IF(H490="Y",(D490+C490*(E490+F490)+G490)*Escalation!$B$2,0)</f>
        <v/>
      </c>
      <c r="O490">
        <f>IF(I490="Y",(D490+C490*(E490+F490)+G490)*Escalation!$B$3,0)</f>
        <v/>
      </c>
      <c r="P490">
        <f>IF(J490="Y",(D490+C490*(E490+F490)+G490)*Escalation!$B$4,0)</f>
        <v/>
      </c>
      <c r="Q490">
        <f>IF(K490="Y",(D490+C490*(E490+F490)+G490)*Escalation!$B$5,0)</f>
        <v/>
      </c>
      <c r="R490">
        <f>IF(L490="Y",(D490+C490*(E490+F490)+G490)*Escalation!$B$6,0)</f>
        <v/>
      </c>
      <c r="S490">
        <f>IF(M490="Y",(D490+C490*(E490+F490)+G490)*Escalation!$B$7,0)</f>
        <v/>
      </c>
      <c r="T490">
        <f>SUM(N490:S490)</f>
        <v/>
      </c>
    </row>
    <row r="491">
      <c r="N491">
        <f>IF(H491="Y",(D491+C491*(E491+F491)+G491)*Escalation!$B$2,0)</f>
        <v/>
      </c>
      <c r="O491">
        <f>IF(I491="Y",(D491+C491*(E491+F491)+G491)*Escalation!$B$3,0)</f>
        <v/>
      </c>
      <c r="P491">
        <f>IF(J491="Y",(D491+C491*(E491+F491)+G491)*Escalation!$B$4,0)</f>
        <v/>
      </c>
      <c r="Q491">
        <f>IF(K491="Y",(D491+C491*(E491+F491)+G491)*Escalation!$B$5,0)</f>
        <v/>
      </c>
      <c r="R491">
        <f>IF(L491="Y",(D491+C491*(E491+F491)+G491)*Escalation!$B$6,0)</f>
        <v/>
      </c>
      <c r="S491">
        <f>IF(M491="Y",(D491+C491*(E491+F491)+G491)*Escalation!$B$7,0)</f>
        <v/>
      </c>
      <c r="T491">
        <f>SUM(N491:S491)</f>
        <v/>
      </c>
    </row>
    <row r="492">
      <c r="N492">
        <f>IF(H492="Y",(D492+C492*(E492+F492)+G492)*Escalation!$B$2,0)</f>
        <v/>
      </c>
      <c r="O492">
        <f>IF(I492="Y",(D492+C492*(E492+F492)+G492)*Escalation!$B$3,0)</f>
        <v/>
      </c>
      <c r="P492">
        <f>IF(J492="Y",(D492+C492*(E492+F492)+G492)*Escalation!$B$4,0)</f>
        <v/>
      </c>
      <c r="Q492">
        <f>IF(K492="Y",(D492+C492*(E492+F492)+G492)*Escalation!$B$5,0)</f>
        <v/>
      </c>
      <c r="R492">
        <f>IF(L492="Y",(D492+C492*(E492+F492)+G492)*Escalation!$B$6,0)</f>
        <v/>
      </c>
      <c r="S492">
        <f>IF(M492="Y",(D492+C492*(E492+F492)+G492)*Escalation!$B$7,0)</f>
        <v/>
      </c>
      <c r="T492">
        <f>SUM(N492:S492)</f>
        <v/>
      </c>
    </row>
    <row r="493">
      <c r="N493">
        <f>IF(H493="Y",(D493+C493*(E493+F493)+G493)*Escalation!$B$2,0)</f>
        <v/>
      </c>
      <c r="O493">
        <f>IF(I493="Y",(D493+C493*(E493+F493)+G493)*Escalation!$B$3,0)</f>
        <v/>
      </c>
      <c r="P493">
        <f>IF(J493="Y",(D493+C493*(E493+F493)+G493)*Escalation!$B$4,0)</f>
        <v/>
      </c>
      <c r="Q493">
        <f>IF(K493="Y",(D493+C493*(E493+F493)+G493)*Escalation!$B$5,0)</f>
        <v/>
      </c>
      <c r="R493">
        <f>IF(L493="Y",(D493+C493*(E493+F493)+G493)*Escalation!$B$6,0)</f>
        <v/>
      </c>
      <c r="S493">
        <f>IF(M493="Y",(D493+C493*(E493+F493)+G493)*Escalation!$B$7,0)</f>
        <v/>
      </c>
      <c r="T493">
        <f>SUM(N493:S493)</f>
        <v/>
      </c>
    </row>
    <row r="494">
      <c r="N494">
        <f>IF(H494="Y",(D494+C494*(E494+F494)+G494)*Escalation!$B$2,0)</f>
        <v/>
      </c>
      <c r="O494">
        <f>IF(I494="Y",(D494+C494*(E494+F494)+G494)*Escalation!$B$3,0)</f>
        <v/>
      </c>
      <c r="P494">
        <f>IF(J494="Y",(D494+C494*(E494+F494)+G494)*Escalation!$B$4,0)</f>
        <v/>
      </c>
      <c r="Q494">
        <f>IF(K494="Y",(D494+C494*(E494+F494)+G494)*Escalation!$B$5,0)</f>
        <v/>
      </c>
      <c r="R494">
        <f>IF(L494="Y",(D494+C494*(E494+F494)+G494)*Escalation!$B$6,0)</f>
        <v/>
      </c>
      <c r="S494">
        <f>IF(M494="Y",(D494+C494*(E494+F494)+G494)*Escalation!$B$7,0)</f>
        <v/>
      </c>
      <c r="T494">
        <f>SUM(N494:S494)</f>
        <v/>
      </c>
    </row>
    <row r="495">
      <c r="N495">
        <f>IF(H495="Y",(D495+C495*(E495+F495)+G495)*Escalation!$B$2,0)</f>
        <v/>
      </c>
      <c r="O495">
        <f>IF(I495="Y",(D495+C495*(E495+F495)+G495)*Escalation!$B$3,0)</f>
        <v/>
      </c>
      <c r="P495">
        <f>IF(J495="Y",(D495+C495*(E495+F495)+G495)*Escalation!$B$4,0)</f>
        <v/>
      </c>
      <c r="Q495">
        <f>IF(K495="Y",(D495+C495*(E495+F495)+G495)*Escalation!$B$5,0)</f>
        <v/>
      </c>
      <c r="R495">
        <f>IF(L495="Y",(D495+C495*(E495+F495)+G495)*Escalation!$B$6,0)</f>
        <v/>
      </c>
      <c r="S495">
        <f>IF(M495="Y",(D495+C495*(E495+F495)+G495)*Escalation!$B$7,0)</f>
        <v/>
      </c>
      <c r="T495">
        <f>SUM(N495:S495)</f>
        <v/>
      </c>
    </row>
    <row r="496">
      <c r="N496">
        <f>IF(H496="Y",(D496+C496*(E496+F496)+G496)*Escalation!$B$2,0)</f>
        <v/>
      </c>
      <c r="O496">
        <f>IF(I496="Y",(D496+C496*(E496+F496)+G496)*Escalation!$B$3,0)</f>
        <v/>
      </c>
      <c r="P496">
        <f>IF(J496="Y",(D496+C496*(E496+F496)+G496)*Escalation!$B$4,0)</f>
        <v/>
      </c>
      <c r="Q496">
        <f>IF(K496="Y",(D496+C496*(E496+F496)+G496)*Escalation!$B$5,0)</f>
        <v/>
      </c>
      <c r="R496">
        <f>IF(L496="Y",(D496+C496*(E496+F496)+G496)*Escalation!$B$6,0)</f>
        <v/>
      </c>
      <c r="S496">
        <f>IF(M496="Y",(D496+C496*(E496+F496)+G496)*Escalation!$B$7,0)</f>
        <v/>
      </c>
      <c r="T496">
        <f>SUM(N496:S496)</f>
        <v/>
      </c>
    </row>
    <row r="497">
      <c r="N497">
        <f>IF(H497="Y",(D497+C497*(E497+F497)+G497)*Escalation!$B$2,0)</f>
        <v/>
      </c>
      <c r="O497">
        <f>IF(I497="Y",(D497+C497*(E497+F497)+G497)*Escalation!$B$3,0)</f>
        <v/>
      </c>
      <c r="P497">
        <f>IF(J497="Y",(D497+C497*(E497+F497)+G497)*Escalation!$B$4,0)</f>
        <v/>
      </c>
      <c r="Q497">
        <f>IF(K497="Y",(D497+C497*(E497+F497)+G497)*Escalation!$B$5,0)</f>
        <v/>
      </c>
      <c r="R497">
        <f>IF(L497="Y",(D497+C497*(E497+F497)+G497)*Escalation!$B$6,0)</f>
        <v/>
      </c>
      <c r="S497">
        <f>IF(M497="Y",(D497+C497*(E497+F497)+G497)*Escalation!$B$7,0)</f>
        <v/>
      </c>
      <c r="T497">
        <f>SUM(N497:S497)</f>
        <v/>
      </c>
    </row>
    <row r="498">
      <c r="N498">
        <f>IF(H498="Y",(D498+C498*(E498+F498)+G498)*Escalation!$B$2,0)</f>
        <v/>
      </c>
      <c r="O498">
        <f>IF(I498="Y",(D498+C498*(E498+F498)+G498)*Escalation!$B$3,0)</f>
        <v/>
      </c>
      <c r="P498">
        <f>IF(J498="Y",(D498+C498*(E498+F498)+G498)*Escalation!$B$4,0)</f>
        <v/>
      </c>
      <c r="Q498">
        <f>IF(K498="Y",(D498+C498*(E498+F498)+G498)*Escalation!$B$5,0)</f>
        <v/>
      </c>
      <c r="R498">
        <f>IF(L498="Y",(D498+C498*(E498+F498)+G498)*Escalation!$B$6,0)</f>
        <v/>
      </c>
      <c r="S498">
        <f>IF(M498="Y",(D498+C498*(E498+F498)+G498)*Escalation!$B$7,0)</f>
        <v/>
      </c>
      <c r="T498">
        <f>SUM(N498:S498)</f>
        <v/>
      </c>
    </row>
    <row r="499">
      <c r="N499">
        <f>IF(H499="Y",(D499+C499*(E499+F499)+G499)*Escalation!$B$2,0)</f>
        <v/>
      </c>
      <c r="O499">
        <f>IF(I499="Y",(D499+C499*(E499+F499)+G499)*Escalation!$B$3,0)</f>
        <v/>
      </c>
      <c r="P499">
        <f>IF(J499="Y",(D499+C499*(E499+F499)+G499)*Escalation!$B$4,0)</f>
        <v/>
      </c>
      <c r="Q499">
        <f>IF(K499="Y",(D499+C499*(E499+F499)+G499)*Escalation!$B$5,0)</f>
        <v/>
      </c>
      <c r="R499">
        <f>IF(L499="Y",(D499+C499*(E499+F499)+G499)*Escalation!$B$6,0)</f>
        <v/>
      </c>
      <c r="S499">
        <f>IF(M499="Y",(D499+C499*(E499+F499)+G499)*Escalation!$B$7,0)</f>
        <v/>
      </c>
      <c r="T499">
        <f>SUM(N499:S499)</f>
        <v/>
      </c>
    </row>
    <row r="500">
      <c r="N500">
        <f>IF(H500="Y",(D500+C500*(E500+F500)+G500)*Escalation!$B$2,0)</f>
        <v/>
      </c>
      <c r="O500">
        <f>IF(I500="Y",(D500+C500*(E500+F500)+G500)*Escalation!$B$3,0)</f>
        <v/>
      </c>
      <c r="P500">
        <f>IF(J500="Y",(D500+C500*(E500+F500)+G500)*Escalation!$B$4,0)</f>
        <v/>
      </c>
      <c r="Q500">
        <f>IF(K500="Y",(D500+C500*(E500+F500)+G500)*Escalation!$B$5,0)</f>
        <v/>
      </c>
      <c r="R500">
        <f>IF(L500="Y",(D500+C500*(E500+F500)+G500)*Escalation!$B$6,0)</f>
        <v/>
      </c>
      <c r="S500">
        <f>IF(M500="Y",(D500+C500*(E500+F500)+G500)*Escalation!$B$7,0)</f>
        <v/>
      </c>
      <c r="T500">
        <f>SUM(N500:S500)</f>
        <v/>
      </c>
    </row>
    <row r="501">
      <c r="N501">
        <f>IF(H501="Y",(D501+C501*(E501+F501)+G501)*Escalation!$B$2,0)</f>
        <v/>
      </c>
      <c r="O501">
        <f>IF(I501="Y",(D501+C501*(E501+F501)+G501)*Escalation!$B$3,0)</f>
        <v/>
      </c>
      <c r="P501">
        <f>IF(J501="Y",(D501+C501*(E501+F501)+G501)*Escalation!$B$4,0)</f>
        <v/>
      </c>
      <c r="Q501">
        <f>IF(K501="Y",(D501+C501*(E501+F501)+G501)*Escalation!$B$5,0)</f>
        <v/>
      </c>
      <c r="R501">
        <f>IF(L501="Y",(D501+C501*(E501+F501)+G501)*Escalation!$B$6,0)</f>
        <v/>
      </c>
      <c r="S501">
        <f>IF(M501="Y",(D501+C501*(E501+F501)+G501)*Escalation!$B$7,0)</f>
        <v/>
      </c>
      <c r="T501">
        <f>SUM(N501:S501)</f>
        <v/>
      </c>
    </row>
  </sheetData>
  <dataValidations count="1">
    <dataValidation sqref="H2:M500" showErrorMessage="1" showInputMessage="1" allowBlank="1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PIID</t>
        </is>
      </c>
      <c r="B1" s="1" t="inlineStr">
        <is>
          <t>Vendor</t>
        </is>
      </c>
      <c r="C1" s="1" t="inlineStr">
        <is>
          <t>Vehicle</t>
        </is>
      </c>
      <c r="D1" s="1" t="inlineStr">
        <is>
          <t>Amount</t>
        </is>
      </c>
      <c r="E1" s="1" t="inlineStr">
        <is>
          <t>POP_Start</t>
        </is>
      </c>
      <c r="F1" s="1" t="inlineStr">
        <is>
          <t>POP_End</t>
        </is>
      </c>
      <c r="G1" s="1" t="inlineStr">
        <is>
          <t>URL</t>
        </is>
      </c>
      <c r="H1" s="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36" customWidth="1" min="3" max="3"/>
  </cols>
  <sheetData>
    <row r="1">
      <c r="A1" s="1" t="inlineStr">
        <is>
          <t>URL</t>
        </is>
      </c>
      <c r="B1" s="1" t="inlineStr">
        <is>
          <t>Date_Accessed</t>
        </is>
      </c>
      <c r="C1" s="1" t="inlineStr">
        <is>
          <t>Used_For(labor/odc/travel/history)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2" customWidth="1" min="1" max="1"/>
    <col width="28" customWidth="1" min="2" max="2"/>
  </cols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Any missing include flags (Labor)?</t>
        </is>
      </c>
      <c r="B2">
        <f>COUNTIF(Labor_ByYear!L2:Q500,"")</f>
        <v/>
      </c>
    </row>
    <row r="3">
      <c r="A3" t="inlineStr">
        <is>
          <t>Any missing include flags (ODCs)?</t>
        </is>
      </c>
      <c r="B3">
        <f>COUNTIF(ODCs_ByYear!E2:J500,"")</f>
        <v/>
      </c>
    </row>
    <row r="4">
      <c r="A4" t="inlineStr">
        <is>
          <t>Any missing include flags (Travel)?</t>
        </is>
      </c>
      <c r="B4">
        <f>COUNTIF(Travel_ByYear!H2:M500,"")</f>
        <v/>
      </c>
    </row>
    <row r="5">
      <c r="A5" t="inlineStr">
        <is>
          <t>Missing URLs in Sources?</t>
        </is>
      </c>
      <c r="B5">
        <f>COUNTBLANK(Sources!A2:A200)</f>
        <v/>
      </c>
    </row>
    <row r="6">
      <c r="A6" t="inlineStr">
        <is>
          <t>If 52.217-8 applies, Months (D6) between 1 and 6?</t>
        </is>
      </c>
      <c r="B6">
        <f>IF(Summary!B6="Y",AND(Summary!D6&gt;=1,Summary!D6&lt;=6),TRUE)</f>
        <v/>
      </c>
    </row>
    <row r="7">
      <c r="A7" t="inlineStr">
        <is>
          <t>Grand total present?</t>
        </is>
      </c>
      <c r="B7">
        <f>IF(Summary!H8&gt;0,TRUE,FALSE)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2025-09-13T02:04:11Z</dcterms:created>
  <dcterms:modified xmlns:dcterms="http://purl.org/dc/terms/" xmlns:xsi="http://www.w3.org/2001/XMLSchema-instance" xsi:type="dcterms:W3CDTF">2025-09-13T02:04:11Z</dcterms:modified>
</cp:coreProperties>
</file>