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Assumptions" sheetId="1" state="visible" r:id="rId1"/>
    <sheet xmlns:r="http://schemas.openxmlformats.org/officeDocument/2006/relationships" name="Labor_Build" sheetId="2" state="visible" r:id="rId2"/>
    <sheet xmlns:r="http://schemas.openxmlformats.org/officeDocument/2006/relationships" name="ODCs" sheetId="3" state="visible" r:id="rId3"/>
    <sheet xmlns:r="http://schemas.openxmlformats.org/officeDocument/2006/relationships" name="Travel" sheetId="4" state="visible" r:id="rId4"/>
    <sheet xmlns:r="http://schemas.openxmlformats.org/officeDocument/2006/relationships" name="Subcontracts" sheetId="5" state="visible" r:id="rId5"/>
    <sheet xmlns:r="http://schemas.openxmlformats.org/officeDocument/2006/relationships" name="SCA_DBA_Floors" sheetId="6" state="visible" r:id="rId6"/>
    <sheet xmlns:r="http://schemas.openxmlformats.org/officeDocument/2006/relationships" name="Sources_Registry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55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Requirement Title</t>
        </is>
      </c>
      <c r="B2" t="inlineStr"/>
      <c r="C2" t="inlineStr"/>
    </row>
    <row r="3">
      <c r="A3" t="inlineStr">
        <is>
          <t>Place of Performance</t>
        </is>
      </c>
      <c r="B3" t="inlineStr"/>
      <c r="C3" t="inlineStr"/>
    </row>
    <row r="4">
      <c r="A4" t="inlineStr">
        <is>
          <t>Period of Performance - Base (months)</t>
        </is>
      </c>
      <c r="B4" t="inlineStr"/>
      <c r="C4" t="inlineStr"/>
    </row>
    <row r="5">
      <c r="A5" t="inlineStr">
        <is>
          <t>Options (list months)</t>
        </is>
      </c>
      <c r="B5" t="inlineStr"/>
      <c r="C5" t="inlineStr">
        <is>
          <t>Example: 12,12,12</t>
        </is>
      </c>
    </row>
    <row r="6">
      <c r="A6" t="inlineStr">
        <is>
          <t>-8 Extension Priced? (Y/N)</t>
        </is>
      </c>
      <c r="B6" t="inlineStr"/>
      <c r="C6" t="inlineStr">
        <is>
          <t>FAR 52.217-8</t>
        </is>
      </c>
    </row>
    <row r="7">
      <c r="A7" t="inlineStr">
        <is>
          <t>Contract Type</t>
        </is>
      </c>
      <c r="B7" t="inlineStr"/>
      <c r="C7" t="inlineStr">
        <is>
          <t>FFP/CPFF/T&amp;M/Hybrid</t>
        </is>
      </c>
    </row>
    <row r="8">
      <c r="A8" t="inlineStr">
        <is>
          <t>Primary NAICS</t>
        </is>
      </c>
      <c r="B8" t="inlineStr"/>
      <c r="C8" t="inlineStr"/>
    </row>
    <row r="9">
      <c r="A9" t="inlineStr">
        <is>
          <t>Primary PSC</t>
        </is>
      </c>
      <c r="B9" t="inlineStr"/>
      <c r="C9" t="inlineStr"/>
    </row>
    <row r="10">
      <c r="A10" t="inlineStr">
        <is>
          <t>Set-Aside Posture (prelim.)</t>
        </is>
      </c>
      <c r="B10" t="inlineStr"/>
      <c r="C10" t="inlineStr"/>
    </row>
    <row r="11">
      <c r="A11" t="inlineStr">
        <is>
          <t>Labor Rate Basis</t>
        </is>
      </c>
      <c r="B11" t="inlineStr"/>
      <c r="C11" t="inlineStr">
        <is>
          <t>e.g., GSA MAS CALC, SEWP/CHESS catalogs, prior awards</t>
        </is>
      </c>
    </row>
    <row r="12">
      <c r="A12" t="inlineStr">
        <is>
          <t>Escalation Basis</t>
        </is>
      </c>
      <c r="B12" t="inlineStr"/>
      <c r="C12" t="inlineStr">
        <is>
          <t>e.g., BLS ECI/PPI; % per year</t>
        </is>
      </c>
    </row>
    <row r="13">
      <c r="A13" t="inlineStr">
        <is>
          <t>Indirects</t>
        </is>
      </c>
      <c r="B13" t="inlineStr"/>
      <c r="C13" t="inlineStr">
        <is>
          <t>e.g., OH %, G&amp;A %</t>
        </is>
      </c>
    </row>
    <row r="14">
      <c r="A14" t="inlineStr">
        <is>
          <t>Fee/Profit</t>
        </is>
      </c>
      <c r="B14" t="inlineStr"/>
      <c r="C14" t="inlineStr">
        <is>
          <t>%</t>
        </is>
      </c>
    </row>
    <row r="15">
      <c r="A15" t="inlineStr">
        <is>
          <t>SCA/DBA Applicable (Y/N)</t>
        </is>
      </c>
      <c r="B15" t="inlineStr"/>
      <c r="C15" t="inlineStr"/>
    </row>
    <row r="16">
      <c r="A16" t="inlineStr">
        <is>
          <t>Wage Determination # / Area</t>
        </is>
      </c>
      <c r="B16" t="inlineStr"/>
      <c r="C16" t="inlineStr"/>
    </row>
    <row r="17">
      <c r="A17" t="inlineStr">
        <is>
          <t>Currency</t>
        </is>
      </c>
      <c r="B17" t="inlineStr">
        <is>
          <t>USD</t>
        </is>
      </c>
      <c r="C17" t="inlineStr"/>
    </row>
    <row r="18">
      <c r="A18" t="inlineStr">
        <is>
          <t>Prepared By</t>
        </is>
      </c>
      <c r="B18" t="inlineStr"/>
      <c r="C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8" customWidth="1" min="5" max="5"/>
    <col width="24" customWidth="1" min="6" max="6"/>
    <col width="14" customWidth="1" min="7" max="7"/>
    <col width="14" customWidth="1" min="8" max="8"/>
    <col width="14" customWidth="1" min="9" max="9"/>
    <col width="33" customWidth="1" min="10" max="10"/>
    <col width="21" customWidth="1" min="11" max="11"/>
    <col width="14" customWidth="1" min="12" max="12"/>
    <col width="34" customWidth="1" min="13" max="13"/>
    <col width="26" customWidth="1" min="14" max="14"/>
    <col width="14" customWidth="1" min="15" max="15"/>
  </cols>
  <sheetData>
    <row r="1">
      <c r="A1" s="1" t="inlineStr">
        <is>
          <t>LCAT / Role</t>
        </is>
      </c>
      <c r="B1" s="1" t="inlineStr">
        <is>
          <t>Basis (MAS SIN/LCAT, SCA code)</t>
        </is>
      </c>
      <c r="C1" s="1" t="inlineStr">
        <is>
          <t>Year</t>
        </is>
      </c>
      <c r="D1" s="1" t="inlineStr">
        <is>
          <t>Hours</t>
        </is>
      </c>
      <c r="E1" s="1" t="inlineStr">
        <is>
          <t>Base Hourly Rate</t>
        </is>
      </c>
      <c r="F1" s="1" t="inlineStr">
        <is>
          <t>Escalation % (if used)</t>
        </is>
      </c>
      <c r="G1" s="1" t="inlineStr">
        <is>
          <t>Burden OH %</t>
        </is>
      </c>
      <c r="H1" s="1" t="inlineStr">
        <is>
          <t>G&amp;A %</t>
        </is>
      </c>
      <c r="I1" s="1" t="inlineStr">
        <is>
          <t>Fee/Profit %</t>
        </is>
      </c>
      <c r="J1" s="1" t="inlineStr">
        <is>
          <t>Loaded Hourly Rate (calc)</t>
        </is>
      </c>
      <c r="K1" s="1" t="inlineStr">
        <is>
          <t>Extended ($) (calc)</t>
        </is>
      </c>
      <c r="L1" s="1" t="inlineStr">
        <is>
          <t>Source URL</t>
        </is>
      </c>
      <c r="M1" s="1" t="inlineStr">
        <is>
          <t>Source Type (CALC/Vehicle/Award)</t>
        </is>
      </c>
      <c r="N1" s="1" t="inlineStr">
        <is>
          <t>Source Date (YYYY-MM-DD)</t>
        </is>
      </c>
      <c r="O1" s="1" t="inlineStr">
        <is>
          <t>Notes</t>
        </is>
      </c>
    </row>
    <row r="2">
      <c r="A2" t="inlineStr"/>
      <c r="B2" t="inlineStr"/>
      <c r="C2" t="inlineStr">
        <is>
          <t>BY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>
        <f>E2*(1+F2)*(1+G2)*(1+H2)*(1+I2)</f>
        <v/>
      </c>
      <c r="K2">
        <f>J2*D2</f>
        <v/>
      </c>
      <c r="L2" t="inlineStr"/>
      <c r="M2" t="inlineStr"/>
      <c r="N2" t="inlineStr"/>
      <c r="O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Item/Description</t>
        </is>
      </c>
      <c r="B1" s="1" t="inlineStr">
        <is>
          <t>Year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Unit Price</t>
        </is>
      </c>
      <c r="F1" s="1" t="inlineStr">
        <is>
          <t>Extended (calc)</t>
        </is>
      </c>
      <c r="G1" s="1" t="inlineStr">
        <is>
          <t>Source URL</t>
        </is>
      </c>
      <c r="H1" s="1" t="inlineStr">
        <is>
          <t>Source Type</t>
        </is>
      </c>
      <c r="I1" s="1" t="inlineStr">
        <is>
          <t>Date</t>
        </is>
      </c>
      <c r="J1" s="1" t="inlineStr">
        <is>
          <t>Notes</t>
        </is>
      </c>
    </row>
    <row r="2">
      <c r="A2" t="inlineStr"/>
      <c r="B2" t="inlineStr">
        <is>
          <t>BY</t>
        </is>
      </c>
      <c r="C2" t="n">
        <v>0</v>
      </c>
      <c r="D2" t="inlineStr"/>
      <c r="E2" t="n">
        <v>0</v>
      </c>
      <c r="F2">
        <f>C2*E2</f>
        <v/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5" customWidth="1" min="6" max="6"/>
    <col width="14" customWidth="1" min="7" max="7"/>
  </cols>
  <sheetData>
    <row r="1">
      <c r="A1" s="1" t="inlineStr">
        <is>
          <t>Trip Type</t>
        </is>
      </c>
      <c r="B1" s="1" t="inlineStr">
        <is>
          <t>Year</t>
        </is>
      </c>
      <c r="C1" s="1" t="inlineStr">
        <is>
          <t>Trips</t>
        </is>
      </c>
      <c r="D1" s="1" t="inlineStr">
        <is>
          <t>Cost/Trip</t>
        </is>
      </c>
      <c r="E1" s="1" t="inlineStr">
        <is>
          <t>Extended (calc)</t>
        </is>
      </c>
      <c r="F1" s="1" t="inlineStr">
        <is>
          <t>Source/Policy</t>
        </is>
      </c>
      <c r="G1" s="1" t="inlineStr">
        <is>
          <t>Notes</t>
        </is>
      </c>
    </row>
    <row r="2">
      <c r="A2" t="inlineStr"/>
      <c r="B2" t="inlineStr">
        <is>
          <t>BY</t>
        </is>
      </c>
      <c r="C2" t="n">
        <v>0</v>
      </c>
      <c r="D2" t="n">
        <v>0</v>
      </c>
      <c r="E2">
        <f>C2*D2</f>
        <v/>
      </c>
      <c r="F2" t="inlineStr"/>
      <c r="G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Subcontractor/Scope</t>
        </is>
      </c>
      <c r="B1" s="1" t="inlineStr">
        <is>
          <t>Year</t>
        </is>
      </c>
      <c r="C1" s="1" t="inlineStr">
        <is>
          <t>Amount</t>
        </is>
      </c>
      <c r="D1" s="1" t="inlineStr">
        <is>
          <t>Basis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Type (SCA/DBA)</t>
        </is>
      </c>
      <c r="B1" s="1" t="inlineStr">
        <is>
          <t>WD Number</t>
        </is>
      </c>
      <c r="C1" s="1" t="inlineStr">
        <is>
          <t>Area/County</t>
        </is>
      </c>
      <c r="D1" s="1" t="inlineStr">
        <is>
          <t>LCAT/Trade</t>
        </is>
      </c>
      <c r="E1" s="1" t="inlineStr">
        <is>
          <t>Min Wage</t>
        </is>
      </c>
      <c r="F1" s="1" t="inlineStr">
        <is>
          <t>Fringe</t>
        </is>
      </c>
      <c r="G1" s="1" t="inlineStr">
        <is>
          <t>Effective Date</t>
        </is>
      </c>
      <c r="H1" s="1" t="inlineStr">
        <is>
          <t>URL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9" customWidth="1" min="5" max="5"/>
    <col width="23" customWidth="1" min="6" max="6"/>
    <col width="14" customWidth="1" min="7" max="7"/>
  </cols>
  <sheetData>
    <row r="1">
      <c r="A1" s="1" t="inlineStr">
        <is>
          <t>Line Item</t>
        </is>
      </c>
      <c r="B1" s="1" t="inlineStr">
        <is>
          <t>Type (Labor/ODC/Travel/SubK)</t>
        </is>
      </c>
      <c r="C1" s="1" t="inlineStr">
        <is>
          <t>Source URL</t>
        </is>
      </c>
      <c r="D1" s="1" t="inlineStr">
        <is>
          <t>Source Name</t>
        </is>
      </c>
      <c r="E1" s="1" t="inlineStr">
        <is>
          <t>Vehicle/NAICS/PSC</t>
        </is>
      </c>
      <c r="F1" s="1" t="inlineStr">
        <is>
          <t>Accessed (YYYY-MM-DD)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Labor ($)</t>
        </is>
      </c>
      <c r="C1" s="1" t="inlineStr">
        <is>
          <t>ODCs ($)</t>
        </is>
      </c>
      <c r="D1" s="1" t="inlineStr">
        <is>
          <t>Travel ($)</t>
        </is>
      </c>
      <c r="E1" s="1" t="inlineStr">
        <is>
          <t>Subcontracts ($)</t>
        </is>
      </c>
      <c r="F1" s="1" t="inlineStr">
        <is>
          <t>Subtotal ($)</t>
        </is>
      </c>
      <c r="G1" s="1" t="inlineStr">
        <is>
          <t>Fee/Profit %</t>
        </is>
      </c>
      <c r="H1" s="1" t="inlineStr">
        <is>
          <t>Fee/Profit ($)</t>
        </is>
      </c>
      <c r="I1" s="1" t="inlineStr">
        <is>
          <t>Total ($)</t>
        </is>
      </c>
    </row>
    <row r="2">
      <c r="A2" t="inlineStr">
        <is>
          <t>BY</t>
        </is>
      </c>
      <c r="B2" t="n">
        <v>0</v>
      </c>
      <c r="C2" t="n">
        <v>0</v>
      </c>
      <c r="D2" t="n">
        <v>0</v>
      </c>
      <c r="E2" t="n">
        <v>0</v>
      </c>
      <c r="F2">
        <f>SUM(B2:E2)</f>
        <v/>
      </c>
      <c r="G2" t="n">
        <v>0</v>
      </c>
      <c r="H2">
        <f>F2*G2</f>
        <v/>
      </c>
      <c r="I2">
        <f>F2+H2</f>
        <v/>
      </c>
    </row>
    <row r="3">
      <c r="A3" t="inlineStr">
        <is>
          <t>OY1</t>
        </is>
      </c>
      <c r="B3" t="n">
        <v>0</v>
      </c>
      <c r="C3" t="n">
        <v>0</v>
      </c>
      <c r="D3" t="n">
        <v>0</v>
      </c>
      <c r="E3" t="n">
        <v>0</v>
      </c>
      <c r="F3">
        <f>SUM(B3:E3)</f>
        <v/>
      </c>
      <c r="G3" t="n">
        <v>0</v>
      </c>
      <c r="H3">
        <f>F3*G3</f>
        <v/>
      </c>
      <c r="I3">
        <f>F3+H3</f>
        <v/>
      </c>
    </row>
    <row r="4">
      <c r="A4" t="inlineStr">
        <is>
          <t>OY2</t>
        </is>
      </c>
      <c r="B4" t="n">
        <v>0</v>
      </c>
      <c r="C4" t="n">
        <v>0</v>
      </c>
      <c r="D4" t="n">
        <v>0</v>
      </c>
      <c r="E4" t="n">
        <v>0</v>
      </c>
      <c r="F4">
        <f>SUM(B4:E4)</f>
        <v/>
      </c>
      <c r="G4" t="n">
        <v>0</v>
      </c>
      <c r="H4">
        <f>F4*G4</f>
        <v/>
      </c>
      <c r="I4">
        <f>F4+H4</f>
        <v/>
      </c>
    </row>
    <row r="5">
      <c r="A5" t="inlineStr">
        <is>
          <t>OY3</t>
        </is>
      </c>
      <c r="B5" t="n">
        <v>0</v>
      </c>
      <c r="C5" t="n">
        <v>0</v>
      </c>
      <c r="D5" t="n">
        <v>0</v>
      </c>
      <c r="E5" t="n">
        <v>0</v>
      </c>
      <c r="F5">
        <f>SUM(B5:E5)</f>
        <v/>
      </c>
      <c r="G5" t="n">
        <v>0</v>
      </c>
      <c r="H5">
        <f>F5*G5</f>
        <v/>
      </c>
      <c r="I5">
        <f>F5+H5</f>
        <v/>
      </c>
    </row>
    <row r="6">
      <c r="A6" t="inlineStr">
        <is>
          <t>OY4</t>
        </is>
      </c>
      <c r="B6" t="n">
        <v>0</v>
      </c>
      <c r="C6" t="n">
        <v>0</v>
      </c>
      <c r="D6" t="n">
        <v>0</v>
      </c>
      <c r="E6" t="n">
        <v>0</v>
      </c>
      <c r="F6">
        <f>SUM(B6:E6)</f>
        <v/>
      </c>
      <c r="G6" t="n">
        <v>0</v>
      </c>
      <c r="H6">
        <f>F6*G6</f>
        <v/>
      </c>
      <c r="I6">
        <f>F6+H6</f>
        <v/>
      </c>
    </row>
    <row r="7">
      <c r="A7" t="inlineStr">
        <is>
          <t>Total w/o -8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 t="inlineStr"/>
      <c r="H7">
        <f>SUM(H2:H6)</f>
        <v/>
      </c>
      <c r="I7">
        <f>SUM(I2:I6)</f>
        <v/>
      </c>
    </row>
    <row r="8">
      <c r="A8" t="inlineStr">
        <is>
          <t>-8 Extension (6 months) Price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Grand Total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2025-09-11T12:10:20Z</dcterms:created>
  <dcterms:modified xmlns:dcterms="http://purl.org/dc/terms/" xmlns:xsi="http://www.w3.org/2001/XMLSchema-instance" xsi:type="dcterms:W3CDTF">2025-09-11T12:10:20Z</dcterms:modified>
</cp:coreProperties>
</file>