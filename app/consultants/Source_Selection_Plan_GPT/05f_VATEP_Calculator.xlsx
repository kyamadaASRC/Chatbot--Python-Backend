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ributes_Credits" sheetId="1" state="visible" r:id="rId1"/>
    <sheet xmlns:r="http://schemas.openxmlformats.org/officeDocument/2006/relationships" name="Offer_Attributes" sheetId="2" state="visible" r:id="rId2"/>
    <sheet xmlns:r="http://schemas.openxmlformats.org/officeDocument/2006/relationships" name="TEP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Attribute Name</t>
        </is>
      </c>
      <c r="C1" s="1" t="inlineStr">
        <is>
          <t>Unit</t>
        </is>
      </c>
      <c r="D1" s="1" t="inlineStr">
        <is>
          <t>CreditType (TIERED/RANGE_LINEAR/THRESHOLD)</t>
        </is>
      </c>
      <c r="E1" s="1" t="inlineStr">
        <is>
          <t>RANGE_MinQual</t>
        </is>
      </c>
      <c r="F1" s="1" t="inlineStr">
        <is>
          <t>RANGE_MaxQual</t>
        </is>
      </c>
      <c r="G1" s="1" t="inlineStr">
        <is>
          <t>RANGE_MaxCredit</t>
        </is>
      </c>
      <c r="H1" s="1" t="inlineStr">
        <is>
          <t>RANGE_Direction (Higher/Lower)</t>
        </is>
      </c>
      <c r="I1" s="1" t="inlineStr">
        <is>
          <t>TIER1_Value</t>
        </is>
      </c>
      <c r="J1" s="1" t="inlineStr">
        <is>
          <t>TIER1_Credit</t>
        </is>
      </c>
      <c r="K1" s="1" t="inlineStr">
        <is>
          <t>TIER2_Value</t>
        </is>
      </c>
      <c r="L1" s="1" t="inlineStr">
        <is>
          <t>TIER2_Credit</t>
        </is>
      </c>
      <c r="M1" s="1" t="inlineStr">
        <is>
          <t>TIER3_Value</t>
        </is>
      </c>
      <c r="N1" s="1" t="inlineStr">
        <is>
          <t>TIER3_Credit</t>
        </is>
      </c>
      <c r="O1" s="1" t="inlineStr">
        <is>
          <t>THRESH_Value</t>
        </is>
      </c>
      <c r="P1" s="1" t="inlineStr">
        <is>
          <t>THRESH_Credit</t>
        </is>
      </c>
      <c r="Q1" s="1" t="inlineStr">
        <is>
          <t>Notes</t>
        </is>
      </c>
    </row>
    <row r="2">
      <c r="A2" t="inlineStr">
        <is>
          <t>V1</t>
        </is>
      </c>
      <c r="B2" t="inlineStr">
        <is>
          <t>Uptime Commitment (%)</t>
        </is>
      </c>
      <c r="C2" t="inlineStr">
        <is>
          <t>percent</t>
        </is>
      </c>
      <c r="D2" t="inlineStr">
        <is>
          <t>RANGE_LINEAR</t>
        </is>
      </c>
      <c r="E2" t="n">
        <v>99</v>
      </c>
      <c r="F2" t="n">
        <v>99.98999999999999</v>
      </c>
      <c r="G2" t="n">
        <v>200000</v>
      </c>
      <c r="H2" t="inlineStr">
        <is>
          <t>Higher</t>
        </is>
      </c>
      <c r="Q2" t="inlineStr">
        <is>
          <t>Linear credit schedule</t>
        </is>
      </c>
    </row>
    <row r="3">
      <c r="A3" t="inlineStr">
        <is>
          <t>V2</t>
        </is>
      </c>
      <c r="B3" t="inlineStr">
        <is>
          <t>Delivery Days ARO</t>
        </is>
      </c>
      <c r="C3" t="inlineStr">
        <is>
          <t>days</t>
        </is>
      </c>
      <c r="D3" t="inlineStr">
        <is>
          <t>RANGE_LINEAR</t>
        </is>
      </c>
      <c r="E3" t="n">
        <v>60</v>
      </c>
      <c r="F3" t="n">
        <v>15</v>
      </c>
      <c r="G3" t="n">
        <v>150000</v>
      </c>
      <c r="H3" t="inlineStr">
        <is>
          <t>Lower</t>
        </is>
      </c>
      <c r="Q3" t="inlineStr">
        <is>
          <t>Linear credit schedule</t>
        </is>
      </c>
    </row>
    <row r="4">
      <c r="A4" t="inlineStr">
        <is>
          <t>V3</t>
        </is>
      </c>
      <c r="B4" t="inlineStr">
        <is>
          <t>Key Personnel Certifications above min</t>
        </is>
      </c>
      <c r="C4" t="inlineStr">
        <is>
          <t>certs</t>
        </is>
      </c>
      <c r="D4" t="inlineStr">
        <is>
          <t>TIERED</t>
        </is>
      </c>
      <c r="I4" t="n">
        <v>1</v>
      </c>
      <c r="J4" t="n">
        <v>20000</v>
      </c>
      <c r="K4" t="n">
        <v>3</v>
      </c>
      <c r="L4" t="n">
        <v>60000</v>
      </c>
      <c r="M4" t="n">
        <v>5</v>
      </c>
      <c r="N4" t="n">
        <v>120000</v>
      </c>
      <c r="Q4" t="inlineStr">
        <is>
          <t>Tiered credit per cert</t>
        </is>
      </c>
    </row>
    <row r="5">
      <c r="A5" t="inlineStr">
        <is>
          <t>V4</t>
        </is>
      </c>
      <c r="B5" t="inlineStr">
        <is>
          <t>FedRAMP Level</t>
        </is>
      </c>
      <c r="C5" t="inlineStr">
        <is>
          <t>level</t>
        </is>
      </c>
      <c r="D5" t="inlineStr">
        <is>
          <t>THRESHOLD</t>
        </is>
      </c>
      <c r="O5" t="n">
        <v>3</v>
      </c>
      <c r="P5" t="n">
        <v>100000</v>
      </c>
      <c r="Q5" t="inlineStr">
        <is>
          <t>Threshold credit at Level 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Offeror</t>
        </is>
      </c>
      <c r="B1" s="1" t="inlineStr">
        <is>
          <t>Attribute ID</t>
        </is>
      </c>
      <c r="C1" s="1" t="inlineStr">
        <is>
          <t>Offered Value</t>
        </is>
      </c>
      <c r="D1" s="1" t="inlineStr">
        <is>
          <t>Credit (auto)</t>
        </is>
      </c>
    </row>
    <row r="2">
      <c r="A2" t="inlineStr">
        <is>
          <t>Offeror A</t>
        </is>
      </c>
      <c r="B2" t="inlineStr">
        <is>
          <t>V1</t>
        </is>
      </c>
      <c r="C2" t="n">
        <v>99.95</v>
      </c>
      <c r="D2">
        <f>LET(
id,B2,
typ,XLOOKUP(id,Attributes_Credits!A:A,Attributes_Credits!D:D,"",0),
val,IFERROR(C2,0),
rmin,XLOOKUP(id,Attributes_Credits!A:A,Attributes_Credits!E:E,"",0),
rmax,XLOOKUP(id,Attributes_Credits!A:A,Attributes_Credits!F:F,"",0),
rcred,XLOOKUP(id,Attributes_Credits!A:A,Attributes_Credits!G:G,"",0),
rdir,XLOOKUP(id,Attributes_Credits!A:A,Attributes_Credits!H:H,"",0),
t1v,XLOOKUP(id,Attributes_Credits!A:A,Attributes_Credits!I:I,"",0),
t1c,XLOOKUP(id,Attributes_Credits!A:A,Attributes_Credits!J:J,"",0),
t2v,XLOOKUP(id,Attributes_Credits!A:A,Attributes_Credits!K:K,"",0),
t2c,XLOOKUP(id,Attributes_Credits!A:A,Attributes_Credits!L:L,"",0),
t3v,XLOOKUP(id,Attributes_Credits!A:A,Attributes_Credits!M:M,"",0),
t3c,XLOOKUP(id,Attributes_Credits!A:A,Attributes_Credits!N:N,"",0),
thv,XLOOKUP(id,Attributes_Credits!A:A,Attributes_Credits!O:O,"",0),
thc,XLOOKUP(id,Attributes_Credits!A:A,Attributes_Credits!P:P,"",0),
cr,
IF(typ="RANGE_LINEAR",
    IF(rdir="Higher",
        IF(val&lt;=rmin,0,IF(val&gt;=rmax,rcred,(val-rmin)/(rmax-rmin)*rcred)),
        IF(val&gt;=rmin,0,IF(val&lt;=rmax,rcred,(rmin-val)/(rmin-rmax)*rcred))
    ),
IF(typ="TIERED",
    IF(val&gt;=t3v,t3c,IF(val&gt;=t2v,t2c,IF(val&gt;=t1v,t1c,0))),
IF(typ="THRESHOLD",
    IF(val&gt;=thv,thc,0),
0))),
cr)</f>
        <v/>
      </c>
    </row>
    <row r="3">
      <c r="A3" t="inlineStr">
        <is>
          <t>Offeror A</t>
        </is>
      </c>
      <c r="B3" t="inlineStr">
        <is>
          <t>V2</t>
        </is>
      </c>
      <c r="C3" t="n">
        <v>30</v>
      </c>
      <c r="D3">
        <f>LET(
id,B3,
typ,XLOOKUP(id,Attributes_Credits!A:A,Attributes_Credits!D:D,"",0),
val,IFERROR(C3,0),
rmin,XLOOKUP(id,Attributes_Credits!A:A,Attributes_Credits!E:E,"",0),
rmax,XLOOKUP(id,Attributes_Credits!A:A,Attributes_Credits!F:F,"",0),
rcred,XLOOKUP(id,Attributes_Credits!A:A,Attributes_Credits!G:G,"",0),
rdir,XLOOKUP(id,Attributes_Credits!A:A,Attributes_Credits!H:H,"",0),
t1v,XLOOKUP(id,Attributes_Credits!A:A,Attributes_Credits!I:I,"",0),
t1c,XLOOKUP(id,Attributes_Credits!A:A,Attributes_Credits!J:J,"",0),
t2v,XLOOKUP(id,Attributes_Credits!A:A,Attributes_Credits!K:K,"",0),
t2c,XLOOKUP(id,Attributes_Credits!A:A,Attributes_Credits!L:L,"",0),
t3v,XLOOKUP(id,Attributes_Credits!A:A,Attributes_Credits!M:M,"",0),
t3c,XLOOKUP(id,Attributes_Credits!A:A,Attributes_Credits!N:N,"",0),
thv,XLOOKUP(id,Attributes_Credits!A:A,Attributes_Credits!O:O,"",0),
thc,XLOOKUP(id,Attributes_Credits!A:A,Attributes_Credits!P:P,"",0),
cr,
IF(typ="RANGE_LINEAR",
    IF(rdir="Higher",
        IF(val&lt;=rmin,0,IF(val&gt;=rmax,rcred,(val-rmin)/(rmax-rmin)*rcred)),
        IF(val&gt;=rmin,0,IF(val&lt;=rmax,rcred,(rmin-val)/(rmin-rmax)*rcred))
    ),
IF(typ="TIERED",
    IF(val&gt;=t3v,t3c,IF(val&gt;=t2v,t2c,IF(val&gt;=t1v,t1c,0))),
IF(typ="THRESHOLD",
    IF(val&gt;=thv,thc,0),
0))),
cr)</f>
        <v/>
      </c>
    </row>
    <row r="4">
      <c r="A4" t="inlineStr">
        <is>
          <t>Offeror A</t>
        </is>
      </c>
      <c r="B4" t="inlineStr">
        <is>
          <t>V3</t>
        </is>
      </c>
      <c r="C4" t="n">
        <v>2</v>
      </c>
      <c r="D4">
        <f>LET(
id,B4,
typ,XLOOKUP(id,Attributes_Credits!A:A,Attributes_Credits!D:D,"",0),
val,IFERROR(C4,0),
rmin,XLOOKUP(id,Attributes_Credits!A:A,Attributes_Credits!E:E,"",0),
rmax,XLOOKUP(id,Attributes_Credits!A:A,Attributes_Credits!F:F,"",0),
rcred,XLOOKUP(id,Attributes_Credits!A:A,Attributes_Credits!G:G,"",0),
rdir,XLOOKUP(id,Attributes_Credits!A:A,Attributes_Credits!H:H,"",0),
t1v,XLOOKUP(id,Attributes_Credits!A:A,Attributes_Credits!I:I,"",0),
t1c,XLOOKUP(id,Attributes_Credits!A:A,Attributes_Credits!J:J,"",0),
t2v,XLOOKUP(id,Attributes_Credits!A:A,Attributes_Credits!K:K,"",0),
t2c,XLOOKUP(id,Attributes_Credits!A:A,Attributes_Credits!L:L,"",0),
t3v,XLOOKUP(id,Attributes_Credits!A:A,Attributes_Credits!M:M,"",0),
t3c,XLOOKUP(id,Attributes_Credits!A:A,Attributes_Credits!N:N,"",0),
thv,XLOOKUP(id,Attributes_Credits!A:A,Attributes_Credits!O:O,"",0),
thc,XLOOKUP(id,Attributes_Credits!A:A,Attributes_Credits!P:P,"",0),
cr,
IF(typ="RANGE_LINEAR",
    IF(rdir="Higher",
        IF(val&lt;=rmin,0,IF(val&gt;=rmax,rcred,(val-rmin)/(rmax-rmin)*rcred)),
        IF(val&gt;=rmin,0,IF(val&lt;=rmax,rcred,(rmin-val)/(rmin-rmax)*rcred))
    ),
IF(typ="TIERED",
    IF(val&gt;=t3v,t3c,IF(val&gt;=t2v,t2c,IF(val&gt;=t1v,t1c,0))),
IF(typ="THRESHOLD",
    IF(val&gt;=thv,thc,0),
0))),
cr)</f>
        <v/>
      </c>
    </row>
    <row r="5">
      <c r="A5" t="inlineStr">
        <is>
          <t>Offeror A</t>
        </is>
      </c>
      <c r="B5" t="inlineStr">
        <is>
          <t>V4</t>
        </is>
      </c>
      <c r="C5" t="n">
        <v>3</v>
      </c>
      <c r="D5">
        <f>LET(
id,B5,
typ,XLOOKUP(id,Attributes_Credits!A:A,Attributes_Credits!D:D,"",0),
val,IFERROR(C5,0),
rmin,XLOOKUP(id,Attributes_Credits!A:A,Attributes_Credits!E:E,"",0),
rmax,XLOOKUP(id,Attributes_Credits!A:A,Attributes_Credits!F:F,"",0),
rcred,XLOOKUP(id,Attributes_Credits!A:A,Attributes_Credits!G:G,"",0),
rdir,XLOOKUP(id,Attributes_Credits!A:A,Attributes_Credits!H:H,"",0),
t1v,XLOOKUP(id,Attributes_Credits!A:A,Attributes_Credits!I:I,"",0),
t1c,XLOOKUP(id,Attributes_Credits!A:A,Attributes_Credits!J:J,"",0),
t2v,XLOOKUP(id,Attributes_Credits!A:A,Attributes_Credits!K:K,"",0),
t2c,XLOOKUP(id,Attributes_Credits!A:A,Attributes_Credits!L:L,"",0),
t3v,XLOOKUP(id,Attributes_Credits!A:A,Attributes_Credits!M:M,"",0),
t3c,XLOOKUP(id,Attributes_Credits!A:A,Attributes_Credits!N:N,"",0),
thv,XLOOKUP(id,Attributes_Credits!A:A,Attributes_Credits!O:O,"",0),
thc,XLOOKUP(id,Attributes_Credits!A:A,Attributes_Credits!P:P,"",0),
cr,
IF(typ="RANGE_LINEAR",
    IF(rdir="Higher",
        IF(val&lt;=rmin,0,IF(val&gt;=rmax,rcred,(val-rmin)/(rmax-rmin)*rcred)),
        IF(val&gt;=rmin,0,IF(val&lt;=rmax,rcred,(rmin-val)/(rmin-rmax)*rcred))
    ),
IF(typ="TIERED",
    IF(val&gt;=t3v,t3c,IF(val&gt;=t2v,t2c,IF(val&gt;=t1v,t1c,0))),
IF(typ="THRESHOLD",
    IF(val&gt;=thv,thc,0),
0))),
cr)</f>
        <v/>
      </c>
    </row>
    <row r="6">
      <c r="A6" t="inlineStr">
        <is>
          <t>Offeror B</t>
        </is>
      </c>
      <c r="B6" t="inlineStr">
        <is>
          <t>V1</t>
        </is>
      </c>
      <c r="C6" t="n">
        <v>99.98999999999999</v>
      </c>
      <c r="D6">
        <f>LET(
id,B6,
typ,XLOOKUP(id,Attributes_Credits!A:A,Attributes_Credits!D:D,"",0),
val,IFERROR(C6,0),
rmin,XLOOKUP(id,Attributes_Credits!A:A,Attributes_Credits!E:E,"",0),
rmax,XLOOKUP(id,Attributes_Credits!A:A,Attributes_Credits!F:F,"",0),
rcred,XLOOKUP(id,Attributes_Credits!A:A,Attributes_Credits!G:G,"",0),
rdir,XLOOKUP(id,Attributes_Credits!A:A,Attributes_Credits!H:H,"",0),
t1v,XLOOKUP(id,Attributes_Credits!A:A,Attributes_Credits!I:I,"",0),
t1c,XLOOKUP(id,Attributes_Credits!A:A,Attributes_Credits!J:J,"",0),
t2v,XLOOKUP(id,Attributes_Credits!A:A,Attributes_Credits!K:K,"",0),
t2c,XLOOKUP(id,Attributes_Credits!A:A,Attributes_Credits!L:L,"",0),
t3v,XLOOKUP(id,Attributes_Credits!A:A,Attributes_Credits!M:M,"",0),
t3c,XLOOKUP(id,Attributes_Credits!A:A,Attributes_Credits!N:N,"",0),
thv,XLOOKUP(id,Attributes_Credits!A:A,Attributes_Credits!O:O,"",0),
thc,XLOOKUP(id,Attributes_Credits!A:A,Attributes_Credits!P:P,"",0),
cr,
IF(typ="RANGE_LINEAR",
    IF(rdir="Higher",
        IF(val&lt;=rmin,0,IF(val&gt;=rmax,rcred,(val-rmin)/(rmax-rmin)*rcred)),
        IF(val&gt;=rmin,0,IF(val&lt;=rmax,rcred,(rmin-val)/(rmin-rmax)*rcred))
    ),
IF(typ="TIERED",
    IF(val&gt;=t3v,t3c,IF(val&gt;=t2v,t2c,IF(val&gt;=t1v,t1c,0))),
IF(typ="THRESHOLD",
    IF(val&gt;=thv,thc,0),
0))),
cr)</f>
        <v/>
      </c>
    </row>
    <row r="7">
      <c r="A7" t="inlineStr">
        <is>
          <t>Offeror B</t>
        </is>
      </c>
      <c r="B7" t="inlineStr">
        <is>
          <t>V2</t>
        </is>
      </c>
      <c r="C7" t="n">
        <v>45</v>
      </c>
      <c r="D7">
        <f>LET(
id,B7,
typ,XLOOKUP(id,Attributes_Credits!A:A,Attributes_Credits!D:D,"",0),
val,IFERROR(C7,0),
rmin,XLOOKUP(id,Attributes_Credits!A:A,Attributes_Credits!E:E,"",0),
rmax,XLOOKUP(id,Attributes_Credits!A:A,Attributes_Credits!F:F,"",0),
rcred,XLOOKUP(id,Attributes_Credits!A:A,Attributes_Credits!G:G,"",0),
rdir,XLOOKUP(id,Attributes_Credits!A:A,Attributes_Credits!H:H,"",0),
t1v,XLOOKUP(id,Attributes_Credits!A:A,Attributes_Credits!I:I,"",0),
t1c,XLOOKUP(id,Attributes_Credits!A:A,Attributes_Credits!J:J,"",0),
t2v,XLOOKUP(id,Attributes_Credits!A:A,Attributes_Credits!K:K,"",0),
t2c,XLOOKUP(id,Attributes_Credits!A:A,Attributes_Credits!L:L,"",0),
t3v,XLOOKUP(id,Attributes_Credits!A:A,Attributes_Credits!M:M,"",0),
t3c,XLOOKUP(id,Attributes_Credits!A:A,Attributes_Credits!N:N,"",0),
thv,XLOOKUP(id,Attributes_Credits!A:A,Attributes_Credits!O:O,"",0),
thc,XLOOKUP(id,Attributes_Credits!A:A,Attributes_Credits!P:P,"",0),
cr,
IF(typ="RANGE_LINEAR",
    IF(rdir="Higher",
        IF(val&lt;=rmin,0,IF(val&gt;=rmax,rcred,(val-rmin)/(rmax-rmin)*rcred)),
        IF(val&gt;=rmin,0,IF(val&lt;=rmax,rcred,(rmin-val)/(rmin-rmax)*rcred))
    ),
IF(typ="TIERED",
    IF(val&gt;=t3v,t3c,IF(val&gt;=t2v,t2c,IF(val&gt;=t1v,t1c,0))),
IF(typ="THRESHOLD",
    IF(val&gt;=thv,thc,0),
0))),
cr)</f>
        <v/>
      </c>
    </row>
    <row r="8">
      <c r="A8" t="inlineStr">
        <is>
          <t>Offeror B</t>
        </is>
      </c>
      <c r="B8" t="inlineStr">
        <is>
          <t>V3</t>
        </is>
      </c>
      <c r="C8" t="n">
        <v>4</v>
      </c>
      <c r="D8">
        <f>LET(
id,B8,
typ,XLOOKUP(id,Attributes_Credits!A:A,Attributes_Credits!D:D,"",0),
val,IFERROR(C8,0),
rmin,XLOOKUP(id,Attributes_Credits!A:A,Attributes_Credits!E:E,"",0),
rmax,XLOOKUP(id,Attributes_Credits!A:A,Attributes_Credits!F:F,"",0),
rcred,XLOOKUP(id,Attributes_Credits!A:A,Attributes_Credits!G:G,"",0),
rdir,XLOOKUP(id,Attributes_Credits!A:A,Attributes_Credits!H:H,"",0),
t1v,XLOOKUP(id,Attributes_Credits!A:A,Attributes_Credits!I:I,"",0),
t1c,XLOOKUP(id,Attributes_Credits!A:A,Attributes_Credits!J:J,"",0),
t2v,XLOOKUP(id,Attributes_Credits!A:A,Attributes_Credits!K:K,"",0),
t2c,XLOOKUP(id,Attributes_Credits!A:A,Attributes_Credits!L:L,"",0),
t3v,XLOOKUP(id,Attributes_Credits!A:A,Attributes_Credits!M:M,"",0),
t3c,XLOOKUP(id,Attributes_Credits!A:A,Attributes_Credits!N:N,"",0),
thv,XLOOKUP(id,Attributes_Credits!A:A,Attributes_Credits!O:O,"",0),
thc,XLOOKUP(id,Attributes_Credits!A:A,Attributes_Credits!P:P,"",0),
cr,
IF(typ="RANGE_LINEAR",
    IF(rdir="Higher",
        IF(val&lt;=rmin,0,IF(val&gt;=rmax,rcred,(val-rmin)/(rmax-rmin)*rcred)),
        IF(val&gt;=rmin,0,IF(val&lt;=rmax,rcred,(rmin-val)/(rmin-rmax)*rcred))
    ),
IF(typ="TIERED",
    IF(val&gt;=t3v,t3c,IF(val&gt;=t2v,t2c,IF(val&gt;=t1v,t1c,0))),
IF(typ="THRESHOLD",
    IF(val&gt;=thv,thc,0),
0))),
cr)</f>
        <v/>
      </c>
    </row>
    <row r="9">
      <c r="A9" t="inlineStr">
        <is>
          <t>Offeror B</t>
        </is>
      </c>
      <c r="B9" t="inlineStr">
        <is>
          <t>V4</t>
        </is>
      </c>
      <c r="C9" t="n">
        <v>2</v>
      </c>
      <c r="D9">
        <f>LET(
id,B9,
typ,XLOOKUP(id,Attributes_Credits!A:A,Attributes_Credits!D:D,"",0),
val,IFERROR(C9,0),
rmin,XLOOKUP(id,Attributes_Credits!A:A,Attributes_Credits!E:E,"",0),
rmax,XLOOKUP(id,Attributes_Credits!A:A,Attributes_Credits!F:F,"",0),
rcred,XLOOKUP(id,Attributes_Credits!A:A,Attributes_Credits!G:G,"",0),
rdir,XLOOKUP(id,Attributes_Credits!A:A,Attributes_Credits!H:H,"",0),
t1v,XLOOKUP(id,Attributes_Credits!A:A,Attributes_Credits!I:I,"",0),
t1c,XLOOKUP(id,Attributes_Credits!A:A,Attributes_Credits!J:J,"",0),
t2v,XLOOKUP(id,Attributes_Credits!A:A,Attributes_Credits!K:K,"",0),
t2c,XLOOKUP(id,Attributes_Credits!A:A,Attributes_Credits!L:L,"",0),
t3v,XLOOKUP(id,Attributes_Credits!A:A,Attributes_Credits!M:M,"",0),
t3c,XLOOKUP(id,Attributes_Credits!A:A,Attributes_Credits!N:N,"",0),
thv,XLOOKUP(id,Attributes_Credits!A:A,Attributes_Credits!O:O,"",0),
thc,XLOOKUP(id,Attributes_Credits!A:A,Attributes_Credits!P:P,"",0),
cr,
IF(typ="RANGE_LINEAR",
    IF(rdir="Higher",
        IF(val&lt;=rmin,0,IF(val&gt;=rmax,rcred,(val-rmin)/(rmax-rmin)*rcred)),
        IF(val&gt;=rmin,0,IF(val&lt;=rmax,rcred,(rmin-val)/(rmin-rmax)*rcred))
    ),
IF(typ="TIERED",
    IF(val&gt;=t3v,t3c,IF(val&gt;=t2v,t2c,IF(val&gt;=t1v,t1c,0))),
IF(typ="THRESHOLD",
    IF(val&gt;=thv,thc,0),
0))),
cr)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Credit Cap ($)</t>
        </is>
      </c>
      <c r="B1" t="inlineStr">
        <is>
          <t>500000</t>
        </is>
      </c>
    </row>
    <row r="2">
      <c r="A2" t="inlineStr">
        <is>
          <t>Price Floor ($)</t>
        </is>
      </c>
      <c r="B2" t="inlineStr">
        <is>
          <t>0</t>
        </is>
      </c>
    </row>
    <row r="3">
      <c r="A3" s="1" t="inlineStr">
        <is>
          <t>Offeror</t>
        </is>
      </c>
      <c r="B3" s="1" t="inlineStr">
        <is>
          <t>Proposed Price ($)</t>
        </is>
      </c>
      <c r="C3" s="1" t="inlineStr">
        <is>
          <t>Total Credits (auto)</t>
        </is>
      </c>
      <c r="D3" s="1" t="inlineStr">
        <is>
          <t>Capped Credits (auto)</t>
        </is>
      </c>
      <c r="E3" s="1" t="inlineStr">
        <is>
          <t>TEP = Price - Credits (auto)</t>
        </is>
      </c>
    </row>
    <row r="4">
      <c r="A4" t="inlineStr">
        <is>
          <t>Offeror A</t>
        </is>
      </c>
      <c r="B4" t="inlineStr"/>
      <c r="C4">
        <f>SUMIF(Offer_Attributes!A:A,A4,Offer_Attributes!D:D)</f>
        <v/>
      </c>
      <c r="D4">
        <f>MIN($B$1,C4)</f>
        <v/>
      </c>
      <c r="E4">
        <f>MAX($B$2,B4-D4)</f>
        <v/>
      </c>
    </row>
    <row r="5">
      <c r="A5" t="inlineStr">
        <is>
          <t>Offeror B</t>
        </is>
      </c>
      <c r="B5" t="inlineStr"/>
      <c r="C5">
        <f>SUMIF(Offer_Attributes!A:A,A5,Offer_Attributes!D:D)</f>
        <v/>
      </c>
      <c r="D5">
        <f>MIN($B$1,C5)</f>
        <v/>
      </c>
      <c r="E5">
        <f>MAX($B$2,B5-D5)</f>
        <v/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8F9D108F5C0F24E9299268BAF4FC8B0" ma:contentTypeVersion="14" ma:contentTypeDescription="Create a new document." ma:contentTypeScope="" ma:versionID="e92914d0fcdc0579be35d783a166dcc6">
  <xsd:schema xmlns:xsd="http://www.w3.org/2001/XMLSchema" xmlns:xs="http://www.w3.org/2001/XMLSchema" xmlns:p="http://schemas.microsoft.com/office/2006/metadata/properties" xmlns:ns2="8ba9ea8a-fc4d-41d9-9122-0b7353dc5ba6" xmlns:ns3="4f55e7e5-ad19-41bb-b796-8bdeebc2f1af" targetNamespace="http://schemas.microsoft.com/office/2006/metadata/properties" ma:root="true" ma:fieldsID="9accc5043affa2b4f661f53941a60be6" ns2:_="" ns3:_="">
    <xsd:import namespace="8ba9ea8a-fc4d-41d9-9122-0b7353dc5ba6"/>
    <xsd:import namespace="4f55e7e5-ad19-41bb-b796-8bdeebc2f1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a9ea8a-fc4d-41d9-9122-0b7353dc5b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c874fec-6985-468d-9a86-0194f6fd86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55e7e5-ad19-41bb-b796-8bdeebc2f1a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7ca1b2b-55e1-4f16-9f6b-16d01499f27d}" ma:internalName="TaxCatchAll" ma:showField="CatchAllData" ma:web="4f55e7e5-ad19-41bb-b796-8bdeebc2f1a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 ma:index="20" ma:displayName="Keywords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ba9ea8a-fc4d-41d9-9122-0b7353dc5ba6">
      <Terms xmlns="http://schemas.microsoft.com/office/infopath/2007/PartnerControls"/>
    </lcf76f155ced4ddcb4097134ff3c332f>
    <TaxCatchAll xmlns="4f55e7e5-ad19-41bb-b796-8bdeebc2f1af" xsi:nil="true"/>
  </documentManagement>
</p:properties>
</file>

<file path=customXml/itemProps1.xml><?xml version="1.0" encoding="utf-8"?>
<ds:datastoreItem xmlns:ds="http://schemas.openxmlformats.org/officeDocument/2006/customXml" ds:itemID="{A3147E02-94A7-48C8-BFBA-F6C28AD54230}"/>
</file>

<file path=customXml/itemProps2.xml><?xml version="1.0" encoding="utf-8"?>
<ds:datastoreItem xmlns:ds="http://schemas.openxmlformats.org/officeDocument/2006/customXml" ds:itemID="{A12BDECA-E3C2-4BBE-91F8-614D847B67E9}"/>
</file>

<file path=customXml/itemProps3.xml><?xml version="1.0" encoding="utf-8"?>
<ds:datastoreItem xmlns:ds="http://schemas.openxmlformats.org/officeDocument/2006/customXml" ds:itemID="{53B6BEC6-EB27-4D4F-9701-B7501A5A1662}"/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2025-09-11T14:11:05Z</dcterms:created>
  <dcterms:modified xsi:type="dcterms:W3CDTF">2025-09-11T14:11:05Z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0x01010028F9D108F5C0F24E9299268BAF4FC8B0</vt:lpwstr>
  </property>
</Properties>
</file>