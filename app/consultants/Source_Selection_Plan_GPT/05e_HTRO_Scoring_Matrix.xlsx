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9" customWidth="1" min="3" max="3"/>
    <col width="14" customWidth="1" min="4" max="4"/>
    <col width="48" customWidth="1" min="5" max="5"/>
    <col width="12" customWidth="1" min="6" max="6"/>
    <col width="21" customWidth="1" min="7" max="7"/>
    <col width="24" customWidth="1" min="8" max="8"/>
    <col width="16" customWidth="1" min="9" max="9"/>
    <col width="16" customWidth="1" min="10" max="10"/>
    <col width="17" customWidth="1" min="11" max="11"/>
    <col width="32" customWidth="1" min="12" max="12"/>
    <col width="16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7" customWidth="1" min="19" max="19"/>
    <col width="20" customWidth="1" min="20" max="20"/>
    <col width="60" customWidth="1" min="21" max="21"/>
    <col width="37" customWidth="1" min="22" max="22"/>
  </cols>
  <sheetData>
    <row r="1">
      <c r="A1" s="1" t="inlineStr">
        <is>
          <t>ID</t>
        </is>
      </c>
      <c r="B1" s="1" t="inlineStr">
        <is>
          <t>Attribute Name</t>
        </is>
      </c>
      <c r="C1" s="1" t="inlineStr">
        <is>
          <t>Factor (Tech/PastPerf/Mgmt)</t>
        </is>
      </c>
      <c r="D1" s="1" t="inlineStr">
        <is>
          <t>Weight (0-1)</t>
        </is>
      </c>
      <c r="E1" s="1" t="inlineStr">
        <is>
          <t>RuleType (COUNT/RANGE_LINEAR/TIERED/THRESHOLD)</t>
        </is>
      </c>
      <c r="F1" s="1" t="inlineStr">
        <is>
          <t>Unit</t>
        </is>
      </c>
      <c r="G1" s="1" t="inlineStr">
        <is>
          <t>COUNT_PointsPerUnit</t>
        </is>
      </c>
      <c r="H1" s="1" t="inlineStr">
        <is>
          <t>COUNT_MaxUnitsCredited</t>
        </is>
      </c>
      <c r="I1" s="1" t="inlineStr">
        <is>
          <t>RANGE_MinValue</t>
        </is>
      </c>
      <c r="J1" s="1" t="inlineStr">
        <is>
          <t>RANGE_MaxValue</t>
        </is>
      </c>
      <c r="K1" s="1" t="inlineStr">
        <is>
          <t>RANGE_MaxPoints</t>
        </is>
      </c>
      <c r="L1" s="1" t="inlineStr">
        <is>
          <t>RANGE_Direction (Higher/Lower)</t>
        </is>
      </c>
      <c r="M1" s="1" t="inlineStr">
        <is>
          <t>TIER1_MinValue</t>
        </is>
      </c>
      <c r="N1" s="1" t="inlineStr">
        <is>
          <t>TIER1_Points</t>
        </is>
      </c>
      <c r="O1" s="1" t="inlineStr">
        <is>
          <t>TIER2_MinValue</t>
        </is>
      </c>
      <c r="P1" s="1" t="inlineStr">
        <is>
          <t>TIER2_Points</t>
        </is>
      </c>
      <c r="Q1" s="1" t="inlineStr">
        <is>
          <t>TIER3_MinValue</t>
        </is>
      </c>
      <c r="R1" s="1" t="inlineStr">
        <is>
          <t>TIER3_Points</t>
        </is>
      </c>
      <c r="S1" s="1" t="inlineStr">
        <is>
          <t>THRESH_MinValue</t>
        </is>
      </c>
      <c r="T1" s="1" t="inlineStr">
        <is>
          <t>THRESH_Points_Pass</t>
        </is>
      </c>
      <c r="U1" s="1" t="inlineStr">
        <is>
          <t>THRESH_Points_Fail</t>
        </is>
      </c>
      <c r="V1" s="1" t="inlineStr">
        <is>
          <t>Notes</t>
        </is>
      </c>
    </row>
    <row r="2">
      <c r="A2" t="inlineStr">
        <is>
          <t>A1</t>
        </is>
      </c>
      <c r="B2" t="inlineStr">
        <is>
          <t>Relevant Projects (last 5 yrs)</t>
        </is>
      </c>
      <c r="C2" t="inlineStr">
        <is>
          <t>PastPerf</t>
        </is>
      </c>
      <c r="D2" t="n">
        <v>0.3</v>
      </c>
      <c r="E2" t="inlineStr">
        <is>
          <t>COUNT</t>
        </is>
      </c>
      <c r="F2" t="inlineStr">
        <is>
          <t>projects</t>
        </is>
      </c>
      <c r="G2" t="n">
        <v>5</v>
      </c>
      <c r="H2" t="n">
        <v>6</v>
      </c>
      <c r="U2" t="inlineStr">
        <is>
          <t>Counts completed, similar projects; evidence: CPARS or references</t>
        </is>
      </c>
    </row>
    <row r="3">
      <c r="A3" t="inlineStr">
        <is>
          <t>A2</t>
        </is>
      </c>
      <c r="B3" t="inlineStr">
        <is>
          <t>Key Personnel Certifications above minimum</t>
        </is>
      </c>
      <c r="C3" t="inlineStr">
        <is>
          <t>Tech</t>
        </is>
      </c>
      <c r="D3" t="n">
        <v>0.1</v>
      </c>
      <c r="E3" t="inlineStr">
        <is>
          <t>COUNT</t>
        </is>
      </c>
      <c r="F3" t="inlineStr">
        <is>
          <t>certs</t>
        </is>
      </c>
      <c r="G3" t="n">
        <v>2</v>
      </c>
      <c r="H3" t="n">
        <v>5</v>
      </c>
      <c r="U3" t="inlineStr">
        <is>
          <t>Only certifications beyond minimum stated in PWS count</t>
        </is>
      </c>
    </row>
    <row r="4">
      <c r="A4" t="inlineStr">
        <is>
          <t>A3</t>
        </is>
      </c>
      <c r="B4" t="inlineStr">
        <is>
          <t>SLA Uptime Commitment (%)</t>
        </is>
      </c>
      <c r="C4" t="inlineStr">
        <is>
          <t>Tech</t>
        </is>
      </c>
      <c r="D4" t="n">
        <v>0.2</v>
      </c>
      <c r="E4" t="inlineStr">
        <is>
          <t>RANGE_LINEAR</t>
        </is>
      </c>
      <c r="F4" t="inlineStr">
        <is>
          <t>percent</t>
        </is>
      </c>
      <c r="I4" t="n">
        <v>99</v>
      </c>
      <c r="J4" t="n">
        <v>99.98999999999999</v>
      </c>
      <c r="K4" t="n">
        <v>20</v>
      </c>
      <c r="L4" t="inlineStr">
        <is>
          <t>Higher</t>
        </is>
      </c>
      <c r="U4" t="inlineStr">
        <is>
          <t>Linear scale: 99.0%→0 pts; 99.99%→20 pts</t>
        </is>
      </c>
    </row>
    <row r="5">
      <c r="A5" t="inlineStr">
        <is>
          <t>A4</t>
        </is>
      </c>
      <c r="B5" t="inlineStr">
        <is>
          <t>Delivery Days ARO</t>
        </is>
      </c>
      <c r="C5" t="inlineStr">
        <is>
          <t>Tech</t>
        </is>
      </c>
      <c r="D5" t="n">
        <v>0.15</v>
      </c>
      <c r="E5" t="inlineStr">
        <is>
          <t>RANGE_LINEAR</t>
        </is>
      </c>
      <c r="F5" t="inlineStr">
        <is>
          <t>days</t>
        </is>
      </c>
      <c r="I5" t="n">
        <v>60</v>
      </c>
      <c r="J5" t="n">
        <v>15</v>
      </c>
      <c r="K5" t="n">
        <v>15</v>
      </c>
      <c r="L5" t="inlineStr">
        <is>
          <t>Lower</t>
        </is>
      </c>
      <c r="U5" t="inlineStr">
        <is>
          <t>Linear scale: 60d→0 pts; 15d→15 pts</t>
        </is>
      </c>
    </row>
    <row r="6">
      <c r="A6" t="inlineStr">
        <is>
          <t>A5</t>
        </is>
      </c>
      <c r="B6" t="inlineStr">
        <is>
          <t>Security/Compliance Level</t>
        </is>
      </c>
      <c r="C6" t="inlineStr">
        <is>
          <t>Tech</t>
        </is>
      </c>
      <c r="D6" t="n">
        <v>0.15</v>
      </c>
      <c r="E6" t="inlineStr">
        <is>
          <t>TIERED</t>
        </is>
      </c>
      <c r="F6" t="inlineStr">
        <is>
          <t>level</t>
        </is>
      </c>
      <c r="M6" t="n">
        <v>1</v>
      </c>
      <c r="N6" t="n">
        <v>5</v>
      </c>
      <c r="O6" t="n">
        <v>2</v>
      </c>
      <c r="P6" t="n">
        <v>12</v>
      </c>
      <c r="Q6" t="n">
        <v>3</v>
      </c>
      <c r="R6" t="n">
        <v>20</v>
      </c>
      <c r="U6" t="inlineStr">
        <is>
          <t>Levels: 1=Baseline, 2=Enhanced, 3=Advanced</t>
        </is>
      </c>
    </row>
    <row r="7">
      <c r="A7" t="inlineStr">
        <is>
          <t>A6</t>
        </is>
      </c>
      <c r="B7" t="inlineStr">
        <is>
          <t>Quality System (ISO 9001 or equivalent)</t>
        </is>
      </c>
      <c r="C7" t="inlineStr">
        <is>
          <t>Mgmt</t>
        </is>
      </c>
      <c r="D7" t="n">
        <v>0.1</v>
      </c>
      <c r="E7" t="inlineStr">
        <is>
          <t>THRESHOLD</t>
        </is>
      </c>
      <c r="F7" t="inlineStr">
        <is>
          <t>bool</t>
        </is>
      </c>
      <c r="S7" t="n">
        <v>1</v>
      </c>
      <c r="T7" t="n">
        <v>10</v>
      </c>
      <c r="U7" t="n">
        <v>0</v>
      </c>
      <c r="V7" t="inlineStr">
        <is>
          <t>1=Certified (10 pts), 0=Not (0 pts)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Offeror</t>
        </is>
      </c>
      <c r="B1" s="1" t="inlineStr">
        <is>
          <t>Attribute ID</t>
        </is>
      </c>
      <c r="C1" s="1" t="inlineStr">
        <is>
          <t>Observed Value</t>
        </is>
      </c>
      <c r="D1" s="1" t="inlineStr">
        <is>
          <t>Units Count (for COUNT)</t>
        </is>
      </c>
      <c r="E1" s="1" t="inlineStr">
        <is>
          <t>Points (auto)</t>
        </is>
      </c>
      <c r="F1" s="1" t="inlineStr">
        <is>
          <t>Weight (auto)</t>
        </is>
      </c>
      <c r="G1" s="1" t="inlineStr">
        <is>
          <t>Weighted Points (auto)</t>
        </is>
      </c>
    </row>
    <row r="2">
      <c r="A2" t="inlineStr">
        <is>
          <t>Offeror A</t>
        </is>
      </c>
      <c r="B2" t="inlineStr">
        <is>
          <t>A1</t>
        </is>
      </c>
      <c r="D2" t="n">
        <v>3</v>
      </c>
      <c r="E2">
        <f>LET(
id,B2,
typ,XLOOKUP(id,Attributes!A:A,Attributes!E:E,"",0),
val,IFERROR(C2,0),
cnt,IFERROR(D2,0),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2">
        <f>XLOOKUP(B2,Attributes!A:A,Attributes!D:D,"",0)</f>
        <v/>
      </c>
      <c r="G2">
        <f>E2*F2</f>
        <v/>
      </c>
    </row>
    <row r="3">
      <c r="A3" t="inlineStr">
        <is>
          <t>Offeror A</t>
        </is>
      </c>
      <c r="B3" t="inlineStr">
        <is>
          <t>A2</t>
        </is>
      </c>
      <c r="D3" t="n">
        <v>4</v>
      </c>
      <c r="E3">
        <f>LET(
id,B3,
typ,XLOOKUP(id,Attributes!A:A,Attributes!E:E,"",0),
val,IFERROR(C3,0),
cnt,IFERROR(D3,0),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3">
        <f>XLOOKUP(B3,Attributes!A:A,Attributes!D:D,"",0)</f>
        <v/>
      </c>
      <c r="G3">
        <f>E3*F3</f>
        <v/>
      </c>
    </row>
    <row r="4">
      <c r="A4" t="inlineStr">
        <is>
          <t>Offeror A</t>
        </is>
      </c>
      <c r="B4" t="inlineStr">
        <is>
          <t>A3</t>
        </is>
      </c>
      <c r="C4" t="n">
        <v>99.95</v>
      </c>
      <c r="E4">
        <f>LET(
id,B4,
typ,XLOOKUP(id,Attributes!A:A,Attributes!E:E,"",0),
val,IFERROR(C4,0),
cnt,IFERROR(D4,0),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4">
        <f>XLOOKUP(B4,Attributes!A:A,Attributes!D:D,"",0)</f>
        <v/>
      </c>
      <c r="G4">
        <f>E4*F4</f>
        <v/>
      </c>
    </row>
    <row r="5">
      <c r="A5" t="inlineStr">
        <is>
          <t>Offeror A</t>
        </is>
      </c>
      <c r="B5" t="inlineStr">
        <is>
          <t>A4</t>
        </is>
      </c>
      <c r="C5" t="n">
        <v>25</v>
      </c>
      <c r="E5">
        <f>LET(
id,B5,
typ,XLOOKUP(id,Attributes!A:A,Attributes!E:E,"",0),
val,IFERROR(C5,0),
cnt,IFERROR(D5,0),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5">
        <f>XLOOKUP(B5,Attributes!A:A,Attributes!D:D,"",0)</f>
        <v/>
      </c>
      <c r="G5">
        <f>E5*F5</f>
        <v/>
      </c>
    </row>
    <row r="6">
      <c r="A6" t="inlineStr">
        <is>
          <t>Offeror A</t>
        </is>
      </c>
      <c r="B6" t="inlineStr">
        <is>
          <t>A5</t>
        </is>
      </c>
      <c r="C6" t="n">
        <v>2</v>
      </c>
      <c r="E6">
        <f>LET(
id,B6,
typ,XLOOKUP(id,Attributes!A:A,Attributes!E:E,"",0),
val,IFERROR(C6,0),
cnt,IFERROR(D6,0),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6">
        <f>XLOOKUP(B6,Attributes!A:A,Attributes!D:D,"",0)</f>
        <v/>
      </c>
      <c r="G6">
        <f>E6*F6</f>
        <v/>
      </c>
    </row>
    <row r="7">
      <c r="A7" t="inlineStr">
        <is>
          <t>Offeror A</t>
        </is>
      </c>
      <c r="B7" t="inlineStr">
        <is>
          <t>A6</t>
        </is>
      </c>
      <c r="C7" t="n">
        <v>1</v>
      </c>
      <c r="E7">
        <f>LET(
id,B7,
typ,XLOOKUP(id,Attributes!A:A,Attributes!E:E,"",0),
val,IFERROR(C7,0),
cnt,IFERROR(D7,0),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7">
        <f>XLOOKUP(B7,Attributes!A:A,Attributes!D:D,"",0)</f>
        <v/>
      </c>
      <c r="G7">
        <f>E7*F7</f>
        <v/>
      </c>
    </row>
    <row r="8">
      <c r="A8" t="inlineStr">
        <is>
          <t>Offeror B</t>
        </is>
      </c>
      <c r="B8" t="inlineStr">
        <is>
          <t>A1</t>
        </is>
      </c>
      <c r="D8" t="n">
        <v>6</v>
      </c>
      <c r="E8">
        <f>LET(
id,B8,
typ,XLOOKUP(id,Attributes!A:A,Attributes!E:E,"",0),
val,IFERROR(C8,0),
cnt,IFERROR(D8,0),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8">
        <f>XLOOKUP(B8,Attributes!A:A,Attributes!D:D,"",0)</f>
        <v/>
      </c>
      <c r="G8">
        <f>E8*F8</f>
        <v/>
      </c>
    </row>
    <row r="9">
      <c r="A9" t="inlineStr">
        <is>
          <t>Offeror B</t>
        </is>
      </c>
      <c r="B9" t="inlineStr">
        <is>
          <t>A2</t>
        </is>
      </c>
      <c r="D9" t="n">
        <v>1</v>
      </c>
      <c r="E9">
        <f>LET(
id,B9,
typ,XLOOKUP(id,Attributes!A:A,Attributes!E:E,"",0),
val,IFERROR(C9,0),
cnt,IFERROR(D9,0),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9">
        <f>XLOOKUP(B9,Attributes!A:A,Attributes!D:D,"",0)</f>
        <v/>
      </c>
      <c r="G9">
        <f>E9*F9</f>
        <v/>
      </c>
    </row>
    <row r="10">
      <c r="A10" t="inlineStr">
        <is>
          <t>Offeror B</t>
        </is>
      </c>
      <c r="B10" t="inlineStr">
        <is>
          <t>A3</t>
        </is>
      </c>
      <c r="C10" t="n">
        <v>99.98999999999999</v>
      </c>
      <c r="E10">
        <f>LET(
id,B10,
typ,XLOOKUP(id,Attributes!A:A,Attributes!E:E,"",0),
val,IFERROR(C10,0),
cnt,IFERROR(D10,0),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10">
        <f>XLOOKUP(B10,Attributes!A:A,Attributes!D:D,"",0)</f>
        <v/>
      </c>
      <c r="G10">
        <f>E10*F10</f>
        <v/>
      </c>
    </row>
    <row r="11">
      <c r="A11" t="inlineStr">
        <is>
          <t>Offeror B</t>
        </is>
      </c>
      <c r="B11" t="inlineStr">
        <is>
          <t>A4</t>
        </is>
      </c>
      <c r="C11" t="n">
        <v>40</v>
      </c>
      <c r="E11">
        <f>LET(
id,B11,
typ,XLOOKUP(id,Attributes!A:A,Attributes!E:E,"",0),
val,IFERROR(C11,0),
cnt,IFERROR(D11,0),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11">
        <f>XLOOKUP(B11,Attributes!A:A,Attributes!D:D,"",0)</f>
        <v/>
      </c>
      <c r="G11">
        <f>E11*F11</f>
        <v/>
      </c>
    </row>
    <row r="12">
      <c r="A12" t="inlineStr">
        <is>
          <t>Offeror B</t>
        </is>
      </c>
      <c r="B12" t="inlineStr">
        <is>
          <t>A5</t>
        </is>
      </c>
      <c r="C12" t="n">
        <v>3</v>
      </c>
      <c r="E12">
        <f>LET(
id,B12,
typ,XLOOKUP(id,Attributes!A:A,Attributes!E:E,"",0),
val,IFERROR(C12,0),
cnt,IFERROR(D12,0),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12">
        <f>XLOOKUP(B12,Attributes!A:A,Attributes!D:D,"",0)</f>
        <v/>
      </c>
      <c r="G12">
        <f>E12*F12</f>
        <v/>
      </c>
    </row>
    <row r="13">
      <c r="A13" t="inlineStr">
        <is>
          <t>Offeror B</t>
        </is>
      </c>
      <c r="B13" t="inlineStr">
        <is>
          <t>A6</t>
        </is>
      </c>
      <c r="C13" t="n">
        <v>1</v>
      </c>
      <c r="E13">
        <f>LET(
id,B13,
typ,XLOOKUP(id,Attributes!A:A,Attributes!E:E,"",0),
val,IFERROR(C13,0),
cnt,IFERROR(D13,0),
ppu,XLOOKUP(id,Attributes!A:A,Attributes!G:G,"",0),
maxu,XLOOKUP(id,Attributes!A:A,Attributes!H:H,"",0),
rmin,XLOOKUP(id,Attributes!A:A,Attributes!I:I,"",0),
rmax,XLOOKUP(id,Attributes!A:A,Attributes!J:J,"",0),
rpts,XLOOKUP(id,Attributes!A:A,Attributes!K:K,"",0),
rdir,XLOOKUP(id,Attributes!A:A,Attributes!L:L,"",0),
t1v,XLOOKUP(id,Attributes!A:A,Attributes!M:M,"",0),
t1p,XLOOKUP(id,Attributes!A:A,Attributes!N:N,"",0),
t2v,XLOOKUP(id,Attributes!A:A,Attributes!O:O,"",0),
t2p,XLOOKUP(id,Attributes!A:A,Attributes!P:P,"",0),
t3v,XLOOKUP(id,Attributes!A:A,Attributes!Q:Q,"",0),
t3p,XLOOKUP(id,Attributes!A:A,Attributes!R:R,"",0),
thv,XLOOKUP(id,Attributes!A:A,Attributes!S:S,"",0),
thpp,XLOOKUP(id,Attributes!A:A,Attributes!T:T,"",0),
thpf,XLOOKUP(id,Attributes!A:A,Attributes!U:U,"",0),
pts,
IF(typ="COUNT",
    MIN(cnt,maxu)*ppu,
IF(typ="RANGE_LINEAR",
    IF(rdir="Higher",
        IF(val&lt;=rmin,0,IF(val&gt;=rmax,rpts,(val-rmin)/(rmax-rmin)*rpts)),
        IF(val&gt;=rmin,0,IF(val&lt;=rmax,rpts,(rmin-val)/(rmin-rmax)*rpts))
    ),
IF(typ="TIERED",
    IF(val&gt;=t3v,t3p,IF(val&gt;=t2v,t2p,IF(val&gt;=t1v,t1p,0))),
IF(typ="THRESHOLD",
    IF(val&gt;=thv,thpp,thpf),
0)))),
pts)</f>
        <v/>
      </c>
      <c r="F13">
        <f>XLOOKUP(B13,Attributes!A:A,Attributes!D:D,"",0)</f>
        <v/>
      </c>
      <c r="G13">
        <f>E13*F13</f>
        <v/>
      </c>
    </row>
    <row r="14">
      <c r="A14" t="inlineStr"/>
      <c r="B14" t="inlineStr"/>
      <c r="C14" t="inlineStr"/>
      <c r="D14" t="inlineStr"/>
      <c r="E14" t="inlineStr"/>
      <c r="F14" t="inlineStr">
        <is>
          <t>Total Weighted Technical Score (per offeror):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2025-09-11T14:11:05Z</dcterms:created>
  <dcterms:modified xmlns:dcterms="http://purl.org/dc/terms/" xmlns:xsi="http://www.w3.org/2001/XMLSchema-instance" xsi:type="dcterms:W3CDTF">2025-09-11T14:11:05Z</dcterms:modified>
</cp:coreProperties>
</file>